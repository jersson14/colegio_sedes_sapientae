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ERSSON\CURSOS INAPCE\OFIMÁTICA NIVEL AVANZADO\CLASE 3\"/>
    </mc:Choice>
  </mc:AlternateContent>
  <xr:revisionPtr revIDLastSave="0" documentId="13_ncr:1_{6FF4D75A-69C0-42E0-8117-32B8C8F2E7F1}" xr6:coauthVersionLast="47" xr6:coauthVersionMax="47" xr10:uidLastSave="{00000000-0000-0000-0000-000000000000}"/>
  <bookViews>
    <workbookView xWindow="-120" yWindow="-120" windowWidth="38640" windowHeight="21120" activeTab="5" xr2:uid="{E2CC6D2B-4C18-4D98-94D8-4BEB31A28CE0}"/>
  </bookViews>
  <sheets>
    <sheet name="PRESENTACION" sheetId="1" r:id="rId1"/>
    <sheet name="TEORIA" sheetId="5" r:id="rId2"/>
    <sheet name="TABLAS DINAMICAS" sheetId="2" r:id="rId3"/>
    <sheet name="GRAFICOS" sheetId="3" r:id="rId4"/>
    <sheet name="TABLAS DINAMICAS 2" sheetId="9" r:id="rId5"/>
    <sheet name="SEGMENTACION" sheetId="6" r:id="rId6"/>
    <sheet name="AVANZADOS" sheetId="7" r:id="rId7"/>
  </sheets>
  <definedNames>
    <definedName name="_xlnm._FilterDatabase" localSheetId="6" hidden="1">AVANZADOS!$B$10:$H$30</definedName>
    <definedName name="_xlnm.Criteria" localSheetId="6">AVANZADOS!$D$6:$H$7</definedName>
    <definedName name="SegmentaciónDeDatos_CIUDAD">#N/A</definedName>
    <definedName name="SegmentaciónDeDatos_GENERO">#N/A</definedName>
    <definedName name="SegmentaciónDeDatos_PROFESION">#N/A</definedName>
  </definedNames>
  <calcPr calcId="191029"/>
  <pivotCaches>
    <pivotCache cacheId="10" r:id="rId8"/>
    <pivotCache cacheId="18" r:id="rId9"/>
    <pivotCache cacheId="2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9" l="1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</calcChain>
</file>

<file path=xl/sharedStrings.xml><?xml version="1.0" encoding="utf-8"?>
<sst xmlns="http://schemas.openxmlformats.org/spreadsheetml/2006/main" count="736" uniqueCount="103">
  <si>
    <t>Nro</t>
  </si>
  <si>
    <t>NOMBRE</t>
  </si>
  <si>
    <t>CIUDAD</t>
  </si>
  <si>
    <t>PROFESION</t>
  </si>
  <si>
    <t>MONTO</t>
  </si>
  <si>
    <t>EDAD</t>
  </si>
  <si>
    <t>SANDRA</t>
  </si>
  <si>
    <t>ABANCAY</t>
  </si>
  <si>
    <t>ABOGADO</t>
  </si>
  <si>
    <t>CARMEN</t>
  </si>
  <si>
    <t>LIMA</t>
  </si>
  <si>
    <t>CHOFER</t>
  </si>
  <si>
    <t>LEO</t>
  </si>
  <si>
    <t>CUSCO</t>
  </si>
  <si>
    <t>MEDICO</t>
  </si>
  <si>
    <t>CARLOS</t>
  </si>
  <si>
    <t>ENFERMERA</t>
  </si>
  <si>
    <t>KARINA</t>
  </si>
  <si>
    <t>AYACUCHO</t>
  </si>
  <si>
    <t>LUIS</t>
  </si>
  <si>
    <t>FREDDY</t>
  </si>
  <si>
    <t>JUAN</t>
  </si>
  <si>
    <t>MARIA</t>
  </si>
  <si>
    <t>ENFERMERIA</t>
  </si>
  <si>
    <t>NOELIA</t>
  </si>
  <si>
    <t>MARCO</t>
  </si>
  <si>
    <t>JULIA</t>
  </si>
  <si>
    <t>TACNA</t>
  </si>
  <si>
    <t>JOSE</t>
  </si>
  <si>
    <t>UCAYALI</t>
  </si>
  <si>
    <t>JORGE</t>
  </si>
  <si>
    <t>SOFIA</t>
  </si>
  <si>
    <t>CLAUDIA</t>
  </si>
  <si>
    <t>FERNANDA</t>
  </si>
  <si>
    <t>OCTAVIO</t>
  </si>
  <si>
    <t>ISABEL</t>
  </si>
  <si>
    <t>F</t>
  </si>
  <si>
    <t>M</t>
  </si>
  <si>
    <t>GENERO</t>
  </si>
  <si>
    <t>Producto</t>
  </si>
  <si>
    <t>Cantidad</t>
  </si>
  <si>
    <t>Precio</t>
  </si>
  <si>
    <t>Monto</t>
  </si>
  <si>
    <t>Mes</t>
  </si>
  <si>
    <t>Vendedor</t>
  </si>
  <si>
    <t>Arroz</t>
  </si>
  <si>
    <t>Enero</t>
  </si>
  <si>
    <t>Harina</t>
  </si>
  <si>
    <t>Febrero</t>
  </si>
  <si>
    <t>Queso</t>
  </si>
  <si>
    <t>Marzo</t>
  </si>
  <si>
    <t>Judith</t>
  </si>
  <si>
    <t>Leche</t>
  </si>
  <si>
    <t>Abril</t>
  </si>
  <si>
    <t>Mantequilla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</si>
  <si>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</si>
  <si>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</si>
  <si>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</si>
  <si>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</si>
  <si>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</si>
  <si>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</si>
  <si>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</si>
  <si>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</si>
  <si>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Antonio</t>
  </si>
  <si>
    <t>Sofia</t>
  </si>
  <si>
    <t>Jhonatan</t>
  </si>
  <si>
    <r>
      <t>Una </t>
    </r>
    <r>
      <rPr>
        <b/>
        <sz val="20"/>
        <color theme="1"/>
        <rFont val="Calibri"/>
        <family val="2"/>
        <scheme val="minor"/>
      </rPr>
      <t>tabla dinámica</t>
    </r>
    <r>
      <rPr>
        <sz val="20"/>
        <color theme="1"/>
        <rFont val="Calibri"/>
        <family val="2"/>
        <scheme val="minor"/>
      </rPr>
      <t xml:space="preserve"> es un </t>
    </r>
    <r>
      <rPr>
        <b/>
        <sz val="20"/>
        <color theme="1"/>
        <rFont val="Calibri"/>
        <family val="2"/>
        <scheme val="minor"/>
      </rPr>
      <t xml:space="preserve">resumen de datos </t>
    </r>
    <r>
      <rPr>
        <sz val="20"/>
        <color theme="1"/>
        <rFont val="Calibri"/>
        <family val="2"/>
        <scheme val="minor"/>
      </rPr>
      <t xml:space="preserve">que se obtienen de otro </t>
    </r>
    <r>
      <rPr>
        <b/>
        <sz val="20"/>
        <color theme="1"/>
        <rFont val="Calibri"/>
        <family val="2"/>
        <scheme val="minor"/>
      </rPr>
      <t>conjunto de datos de mayor tamaño</t>
    </r>
    <r>
      <rPr>
        <sz val="20"/>
        <color theme="1"/>
        <rFont val="Calibri"/>
        <family val="2"/>
        <scheme val="minor"/>
      </rPr>
      <t>.</t>
    </r>
  </si>
  <si>
    <r>
      <t xml:space="preserve">Con las </t>
    </r>
    <r>
      <rPr>
        <b/>
        <sz val="20"/>
        <color theme="1"/>
        <rFont val="Calibri"/>
        <family val="2"/>
        <scheme val="minor"/>
      </rPr>
      <t xml:space="preserve">tablas dinamicas </t>
    </r>
    <r>
      <rPr>
        <sz val="20"/>
        <color theme="1"/>
        <rFont val="Calibri"/>
        <family val="2"/>
        <scheme val="minor"/>
      </rPr>
      <t xml:space="preserve">puedes hacer </t>
    </r>
    <r>
      <rPr>
        <b/>
        <sz val="20"/>
        <color theme="1"/>
        <rFont val="Calibri"/>
        <family val="2"/>
        <scheme val="minor"/>
      </rPr>
      <t>análisis rápidos de información masiva</t>
    </r>
  </si>
  <si>
    <r>
      <rPr>
        <b/>
        <sz val="20"/>
        <color theme="1"/>
        <rFont val="Calibri"/>
        <family val="2"/>
        <scheme val="minor"/>
      </rPr>
      <t>Ejercicio 1:</t>
    </r>
    <r>
      <rPr>
        <sz val="20"/>
        <color theme="1"/>
        <rFont val="Calibri"/>
        <family val="2"/>
        <scheme val="minor"/>
      </rPr>
      <t xml:space="preserve"> Total de monto por profesión 
</t>
    </r>
    <r>
      <rPr>
        <b/>
        <sz val="20"/>
        <color theme="1"/>
        <rFont val="Calibri"/>
        <family val="2"/>
        <scheme val="minor"/>
      </rPr>
      <t>Ejercicio 2:</t>
    </r>
    <r>
      <rPr>
        <sz val="20"/>
        <color theme="1"/>
        <rFont val="Calibri"/>
        <family val="2"/>
        <scheme val="minor"/>
      </rPr>
      <t xml:space="preserve"> Promedio de edad por ciudad
</t>
    </r>
    <r>
      <rPr>
        <b/>
        <sz val="20"/>
        <color theme="1"/>
        <rFont val="Calibri"/>
        <family val="2"/>
        <scheme val="minor"/>
      </rPr>
      <t xml:space="preserve">Ejercicio 3: </t>
    </r>
    <r>
      <rPr>
        <sz val="20"/>
        <color theme="1"/>
        <rFont val="Calibri"/>
        <family val="2"/>
        <scheme val="minor"/>
      </rPr>
      <t xml:space="preserve">Número de personas por profesión y ciudad
</t>
    </r>
    <r>
      <rPr>
        <b/>
        <sz val="20"/>
        <color theme="1"/>
        <rFont val="Calibri"/>
        <family val="2"/>
        <scheme val="minor"/>
      </rPr>
      <t>EN UNA HOJA NUEVA CREA LOS SIGUIENTES EJERCICIOS</t>
    </r>
    <r>
      <rPr>
        <sz val="20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Ejercicio 4: </t>
    </r>
    <r>
      <rPr>
        <sz val="20"/>
        <color theme="1"/>
        <rFont val="Calibri"/>
        <family val="2"/>
        <scheme val="minor"/>
      </rPr>
      <t xml:space="preserve">Total de monto por profesión en Lima
</t>
    </r>
    <r>
      <rPr>
        <b/>
        <sz val="20"/>
        <color theme="1"/>
        <rFont val="Calibri"/>
        <family val="2"/>
        <scheme val="minor"/>
      </rPr>
      <t xml:space="preserve">Ejercicio 5: </t>
    </r>
    <r>
      <rPr>
        <sz val="20"/>
        <color theme="1"/>
        <rFont val="Calibri"/>
        <family val="2"/>
        <scheme val="minor"/>
      </rPr>
      <t xml:space="preserve">Monto promedio por profesión
</t>
    </r>
    <r>
      <rPr>
        <b/>
        <sz val="20"/>
        <color theme="1"/>
        <rFont val="Calibri"/>
        <family val="2"/>
        <scheme val="minor"/>
      </rPr>
      <t>Ejercicio 6:</t>
    </r>
    <r>
      <rPr>
        <sz val="20"/>
        <color theme="1"/>
        <rFont val="Calibri"/>
        <family val="2"/>
        <scheme val="minor"/>
      </rPr>
      <t xml:space="preserve"> Personas mayores de 30 años por profesión</t>
    </r>
  </si>
  <si>
    <r>
      <rPr>
        <b/>
        <sz val="20"/>
        <color theme="1"/>
        <rFont val="Calibri"/>
        <family val="2"/>
        <scheme val="minor"/>
      </rPr>
      <t>EJERCICIOS:
Ejercicio 1: Promedio de sueldo por profesión y género</t>
    </r>
    <r>
      <rPr>
        <sz val="20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Ejercicio 2: Total de sueldos por ciudad</t>
    </r>
    <r>
      <rPr>
        <sz val="20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Ejercicio 3: Distribución de edad por profesión</t>
    </r>
    <r>
      <rPr>
        <sz val="20"/>
        <color theme="1"/>
        <rFont val="Calibri"/>
        <family val="2"/>
        <scheme val="minor"/>
      </rPr>
      <t xml:space="preserve">
</t>
    </r>
  </si>
  <si>
    <t>Etiquetas de fila</t>
  </si>
  <si>
    <t>Total general</t>
  </si>
  <si>
    <t>Suma de MONTO</t>
  </si>
  <si>
    <t>PROFESIÓN</t>
  </si>
  <si>
    <t>TOTAL</t>
  </si>
  <si>
    <t>EJERCICIO 1</t>
  </si>
  <si>
    <t>Promedio de EDAD</t>
  </si>
  <si>
    <t>EJERCICIO 2</t>
  </si>
  <si>
    <t>EJERCICIO 3</t>
  </si>
  <si>
    <t>Cuenta de Nro</t>
  </si>
  <si>
    <t>Promedio de MONTO</t>
  </si>
  <si>
    <t>Cuenta de NOMBRE</t>
  </si>
  <si>
    <t>(Varios elementos)</t>
  </si>
  <si>
    <t>Suma de Monto</t>
  </si>
  <si>
    <t>Total Enero</t>
  </si>
  <si>
    <t>Total Febrero</t>
  </si>
  <si>
    <t>Total Marzo</t>
  </si>
  <si>
    <t>Total Abril</t>
  </si>
  <si>
    <t>Total Mayo</t>
  </si>
  <si>
    <t>Total Junio</t>
  </si>
  <si>
    <t>Total Julio</t>
  </si>
  <si>
    <t>Total Agosto</t>
  </si>
  <si>
    <t>Total Octubre</t>
  </si>
  <si>
    <t>Total Noviembre</t>
  </si>
  <si>
    <t>Total Diciembre</t>
  </si>
  <si>
    <t>Total Septiembre</t>
  </si>
  <si>
    <t>Suma de Cantidad</t>
  </si>
  <si>
    <t>Total Antonio</t>
  </si>
  <si>
    <t>Total Jhonatan</t>
  </si>
  <si>
    <t>Total Judith</t>
  </si>
  <si>
    <t>Total Sofia</t>
  </si>
  <si>
    <t>EJERCICIO 6</t>
  </si>
  <si>
    <r>
      <rPr>
        <b/>
        <sz val="20"/>
        <color theme="1"/>
        <rFont val="Calibri"/>
        <family val="2"/>
        <scheme val="minor"/>
      </rPr>
      <t xml:space="preserve">Ejercicio 1: </t>
    </r>
    <r>
      <rPr>
        <sz val="20"/>
        <color theme="1"/>
        <rFont val="Calibri"/>
        <family val="2"/>
        <scheme val="minor"/>
      </rPr>
      <t xml:space="preserve">Monto total vendido por producto y mes
</t>
    </r>
    <r>
      <rPr>
        <b/>
        <sz val="20"/>
        <color theme="1"/>
        <rFont val="Calibri"/>
        <family val="2"/>
        <scheme val="minor"/>
      </rPr>
      <t xml:space="preserve">Ejercicio 2: </t>
    </r>
    <r>
      <rPr>
        <sz val="20"/>
        <color theme="1"/>
        <rFont val="Calibri"/>
        <family val="2"/>
        <scheme val="minor"/>
      </rPr>
      <t xml:space="preserve">Cantidad total de productos vendidos por vendedor y mes
</t>
    </r>
    <r>
      <rPr>
        <b/>
        <sz val="20"/>
        <color theme="5" tint="-0.249977111117893"/>
        <rFont val="Calibri"/>
        <family val="2"/>
        <scheme val="minor"/>
      </rPr>
      <t xml:space="preserve">Ejercicio 3: </t>
    </r>
    <r>
      <rPr>
        <sz val="20"/>
        <color theme="5" tint="-0.249977111117893"/>
        <rFont val="Calibri"/>
        <family val="2"/>
        <scheme val="minor"/>
      </rPr>
      <t xml:space="preserve">Monto total y cantidad promedio por producto
</t>
    </r>
    <r>
      <rPr>
        <b/>
        <sz val="20"/>
        <color theme="5" tint="-0.249977111117893"/>
        <rFont val="Calibri"/>
        <family val="2"/>
        <scheme val="minor"/>
      </rPr>
      <t>EN UNA HOJA NUEVA CREA LOS SIGUIENTES EJERCICIOS</t>
    </r>
    <r>
      <rPr>
        <sz val="20"/>
        <color theme="5" tint="-0.249977111117893"/>
        <rFont val="Calibri"/>
        <family val="2"/>
        <scheme val="minor"/>
      </rPr>
      <t xml:space="preserve">
</t>
    </r>
    <r>
      <rPr>
        <b/>
        <sz val="20"/>
        <color theme="5" tint="-0.249977111117893"/>
        <rFont val="Calibri"/>
        <family val="2"/>
        <scheme val="minor"/>
      </rPr>
      <t xml:space="preserve">Ejercicio 4: </t>
    </r>
    <r>
      <rPr>
        <sz val="20"/>
        <color theme="5" tint="-0.249977111117893"/>
        <rFont val="Calibri"/>
        <family val="2"/>
        <scheme val="minor"/>
      </rPr>
      <t xml:space="preserve">Total de ventas por vendedor, filtrado por producto
</t>
    </r>
    <r>
      <rPr>
        <b/>
        <sz val="20"/>
        <color theme="5" tint="-0.249977111117893"/>
        <rFont val="Calibri"/>
        <family val="2"/>
        <scheme val="minor"/>
      </rPr>
      <t xml:space="preserve">Ejercicio 5: </t>
    </r>
    <r>
      <rPr>
        <sz val="20"/>
        <color theme="5" tint="-0.249977111117893"/>
        <rFont val="Calibri"/>
        <family val="2"/>
        <scheme val="minor"/>
      </rPr>
      <t xml:space="preserve">Monto total por mes y precio promedio de los productos vendidos
</t>
    </r>
    <r>
      <rPr>
        <b/>
        <sz val="20"/>
        <color theme="1"/>
        <rFont val="Calibri"/>
        <family val="2"/>
        <scheme val="minor"/>
      </rPr>
      <t xml:space="preserve">Ejercicio 6: </t>
    </r>
    <r>
      <rPr>
        <sz val="20"/>
        <color theme="1"/>
        <rFont val="Calibri"/>
        <family val="2"/>
        <scheme val="minor"/>
      </rPr>
      <t>Análisis de las ventas de los mejores vendedores por 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</si>
</sst>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#,##0.00"/>
    <numFmt numFmtId="165" formatCode="&quot;S/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sz val="20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2" fillId="3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5" fontId="0" fillId="0" borderId="1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49" fontId="0" fillId="0" borderId="4" xfId="0" applyNumberFormat="1" applyBorder="1"/>
    <xf numFmtId="2" fontId="0" fillId="0" borderId="4" xfId="0" applyNumberForma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165" fontId="0" fillId="2" borderId="4" xfId="0" applyNumberFormat="1" applyFill="1" applyBorder="1"/>
    <xf numFmtId="0" fontId="0" fillId="2" borderId="2" xfId="0" applyFill="1" applyBorder="1"/>
    <xf numFmtId="0" fontId="3" fillId="3" borderId="0" xfId="0" applyFont="1" applyFill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0" fillId="0" borderId="5" xfId="0" applyBorder="1" applyAlignment="1">
      <alignment horizontal="center" vertical="center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49" fontId="0" fillId="0" borderId="2" xfId="0" applyNumberFormat="1" applyBorder="1"/>
    <xf numFmtId="164" fontId="0" fillId="0" borderId="2" xfId="0" applyNumberFormat="1" applyBorder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 wrapText="1"/>
    </xf>
    <xf numFmtId="0" fontId="6" fillId="0" borderId="0" xfId="0" applyFont="1" applyAlignment="1"/>
    <xf numFmtId="0" fontId="0" fillId="0" borderId="10" xfId="0" applyBorder="1" applyAlignment="1">
      <alignment horizontal="center" vertical="center"/>
    </xf>
    <xf numFmtId="0" fontId="1" fillId="3" borderId="0" xfId="0" applyFont="1" applyFill="1" applyBorder="1"/>
    <xf numFmtId="0" fontId="1" fillId="3" borderId="11" xfId="0" applyFont="1" applyFill="1" applyBorder="1"/>
    <xf numFmtId="0" fontId="1" fillId="3" borderId="1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S/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5" formatCode="&quot;S/&quot;\ #,##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S/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4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1 - EXCEL AVANZADO (1).xlsx]TABLAS DINAMICAS!TablaDinámica2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DINAMICAS'!$F$32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'TABLAS DINAMICAS'!$E$33:$E$39</c:f>
              <c:strCache>
                <c:ptCount val="6"/>
                <c:pt idx="0">
                  <c:v>ABANCAY</c:v>
                </c:pt>
                <c:pt idx="1">
                  <c:v>AYACUCHO</c:v>
                </c:pt>
                <c:pt idx="2">
                  <c:v>CUSCO</c:v>
                </c:pt>
                <c:pt idx="3">
                  <c:v>LIMA</c:v>
                </c:pt>
                <c:pt idx="4">
                  <c:v>TACNA</c:v>
                </c:pt>
                <c:pt idx="5">
                  <c:v>UCAYALI</c:v>
                </c:pt>
              </c:strCache>
            </c:strRef>
          </c:cat>
          <c:val>
            <c:numRef>
              <c:f>'TABLAS DINAMICAS'!$F$33:$F$39</c:f>
              <c:numCache>
                <c:formatCode>General</c:formatCode>
                <c:ptCount val="6"/>
                <c:pt idx="0">
                  <c:v>47.6</c:v>
                </c:pt>
                <c:pt idx="1">
                  <c:v>24.333333333333332</c:v>
                </c:pt>
                <c:pt idx="2">
                  <c:v>25.666666666666668</c:v>
                </c:pt>
                <c:pt idx="3">
                  <c:v>34.200000000000003</c:v>
                </c:pt>
                <c:pt idx="4">
                  <c:v>26</c:v>
                </c:pt>
                <c:pt idx="5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1-41ED-AE66-1CC8F150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16510927"/>
        <c:axId val="605310079"/>
        <c:axId val="0"/>
      </c:bar3DChart>
      <c:catAx>
        <c:axId val="31651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5310079"/>
        <c:crosses val="autoZero"/>
        <c:auto val="1"/>
        <c:lblAlgn val="ctr"/>
        <c:lblOffset val="100"/>
        <c:noMultiLvlLbl val="0"/>
      </c:catAx>
      <c:valAx>
        <c:axId val="6053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1651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1 - EXCEL AVANZADO (1).xlsx]GRAFICOS!TablaDinámica4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b="1" i="1" u="sng" baseline="0">
                <a:latin typeface="Arial" panose="020B0604020202020204" pitchFamily="34" charset="0"/>
                <a:cs typeface="Arial" panose="020B0604020202020204" pitchFamily="34" charset="0"/>
              </a:rPr>
              <a:t> de monto por profesión</a:t>
            </a:r>
            <a:endParaRPr lang="en-US" b="1" i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1915160191752888"/>
          <c:y val="8.4086115002495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GRAFICOS!$L$8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GRAFICOS!$K$9:$K$11</c:f>
              <c:strCache>
                <c:ptCount val="2"/>
                <c:pt idx="0">
                  <c:v>CHOFER</c:v>
                </c:pt>
                <c:pt idx="1">
                  <c:v>MEDICO</c:v>
                </c:pt>
              </c:strCache>
            </c:strRef>
          </c:cat>
          <c:val>
            <c:numRef>
              <c:f>GRAFICOS!$L$9:$L$11</c:f>
              <c:numCache>
                <c:formatCode>"S/"\ #,##0.00</c:formatCode>
                <c:ptCount val="2"/>
                <c:pt idx="0">
                  <c:v>2500</c:v>
                </c:pt>
                <c:pt idx="1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A-40B1-98D6-5705E2C56A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16270015"/>
        <c:axId val="459484383"/>
        <c:axId val="0"/>
      </c:bar3DChart>
      <c:catAx>
        <c:axId val="3162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9484383"/>
        <c:crosses val="autoZero"/>
        <c:auto val="1"/>
        <c:lblAlgn val="ctr"/>
        <c:lblOffset val="100"/>
        <c:noMultiLvlLbl val="0"/>
      </c:catAx>
      <c:valAx>
        <c:axId val="459484383"/>
        <c:scaling>
          <c:orientation val="minMax"/>
        </c:scaling>
        <c:delete val="1"/>
        <c:axPos val="l"/>
        <c:numFmt formatCode="&quot;S/&quot;\ #,##0.00" sourceLinked="1"/>
        <c:majorTickMark val="out"/>
        <c:minorTickMark val="none"/>
        <c:tickLblPos val="nextTo"/>
        <c:crossAx val="316270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1 - EXCEL AVANZADO (1).xlsx]TABLAS DINAMICAS 2!TablaDinámica9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DINAMICAS 2'!$O$60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'TABLAS DINAMICAS 2'!$N$61:$N$85</c:f>
              <c:multiLvlStrCache>
                <c:ptCount val="12"/>
                <c:lvl>
                  <c:pt idx="0">
                    <c:v>Antonio</c:v>
                  </c:pt>
                  <c:pt idx="1">
                    <c:v>Sofia</c:v>
                  </c:pt>
                  <c:pt idx="2">
                    <c:v>Judith</c:v>
                  </c:pt>
                  <c:pt idx="3">
                    <c:v>Jhonatan</c:v>
                  </c:pt>
                  <c:pt idx="4">
                    <c:v>Antonio</c:v>
                  </c:pt>
                  <c:pt idx="5">
                    <c:v>Sofia</c:v>
                  </c:pt>
                  <c:pt idx="6">
                    <c:v>Judith</c:v>
                  </c:pt>
                  <c:pt idx="7">
                    <c:v>Jhonatan</c:v>
                  </c:pt>
                  <c:pt idx="8">
                    <c:v>Sofia</c:v>
                  </c:pt>
                  <c:pt idx="9">
                    <c:v>Judith</c:v>
                  </c:pt>
                  <c:pt idx="10">
                    <c:v>Jhonatan</c:v>
                  </c:pt>
                  <c:pt idx="11">
                    <c:v>Antonio</c:v>
                  </c:pt>
                </c:lvl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Octubre</c:v>
                  </c:pt>
                  <c:pt idx="9">
                    <c:v>Noviembre</c:v>
                  </c:pt>
                  <c:pt idx="10">
                    <c:v>Diciembre</c:v>
                  </c:pt>
                  <c:pt idx="11">
                    <c:v>Septiembre</c:v>
                  </c:pt>
                </c:lvl>
              </c:multiLvlStrCache>
            </c:multiLvlStrRef>
          </c:cat>
          <c:val>
            <c:numRef>
              <c:f>'TABLAS DINAMICAS 2'!$O$61:$O$85</c:f>
              <c:numCache>
                <c:formatCode>General</c:formatCode>
                <c:ptCount val="12"/>
                <c:pt idx="0">
                  <c:v>74</c:v>
                </c:pt>
                <c:pt idx="1">
                  <c:v>71</c:v>
                </c:pt>
                <c:pt idx="2">
                  <c:v>52</c:v>
                </c:pt>
                <c:pt idx="3">
                  <c:v>63</c:v>
                </c:pt>
                <c:pt idx="4">
                  <c:v>78</c:v>
                </c:pt>
                <c:pt idx="5">
                  <c:v>47</c:v>
                </c:pt>
                <c:pt idx="6">
                  <c:v>61</c:v>
                </c:pt>
                <c:pt idx="7">
                  <c:v>42</c:v>
                </c:pt>
                <c:pt idx="8">
                  <c:v>45</c:v>
                </c:pt>
                <c:pt idx="9">
                  <c:v>46</c:v>
                </c:pt>
                <c:pt idx="10">
                  <c:v>50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C-40CD-A4D3-FF639FD34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612466351"/>
        <c:axId val="612465871"/>
        <c:axId val="0"/>
      </c:bar3DChart>
      <c:catAx>
        <c:axId val="61246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2465871"/>
        <c:crosses val="autoZero"/>
        <c:auto val="1"/>
        <c:lblAlgn val="ctr"/>
        <c:lblOffset val="100"/>
        <c:noMultiLvlLbl val="0"/>
      </c:catAx>
      <c:valAx>
        <c:axId val="61246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246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1 - EXCEL AVANZADO (1).xlsx]SEGMENTACION!TablaDinámica11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96363199698076"/>
          <c:y val="0.22739875119522041"/>
          <c:w val="0.84216849364417679"/>
          <c:h val="0.536830243407838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SEGMENTACION!$N$31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SEGMENTACION!$M$32:$M$38</c:f>
              <c:strCache>
                <c:ptCount val="6"/>
                <c:pt idx="0">
                  <c:v>ABANCAY</c:v>
                </c:pt>
                <c:pt idx="1">
                  <c:v>AYACUCHO</c:v>
                </c:pt>
                <c:pt idx="2">
                  <c:v>CUSCO</c:v>
                </c:pt>
                <c:pt idx="3">
                  <c:v>LIMA</c:v>
                </c:pt>
                <c:pt idx="4">
                  <c:v>TACNA</c:v>
                </c:pt>
                <c:pt idx="5">
                  <c:v>UCAYALI</c:v>
                </c:pt>
              </c:strCache>
            </c:strRef>
          </c:cat>
          <c:val>
            <c:numRef>
              <c:f>SEGMENTACION!$N$32:$N$38</c:f>
              <c:numCache>
                <c:formatCode>General</c:formatCode>
                <c:ptCount val="6"/>
                <c:pt idx="0">
                  <c:v>6800</c:v>
                </c:pt>
                <c:pt idx="1">
                  <c:v>3000</c:v>
                </c:pt>
                <c:pt idx="2">
                  <c:v>4800</c:v>
                </c:pt>
                <c:pt idx="3">
                  <c:v>10600</c:v>
                </c:pt>
                <c:pt idx="4">
                  <c:v>1900</c:v>
                </c:pt>
                <c:pt idx="5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D-44A2-9BBD-A9B8D8E4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56605215"/>
        <c:axId val="456606175"/>
        <c:axId val="0"/>
      </c:bar3DChart>
      <c:catAx>
        <c:axId val="4566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6606175"/>
        <c:crosses val="autoZero"/>
        <c:auto val="1"/>
        <c:lblAlgn val="ctr"/>
        <c:lblOffset val="100"/>
        <c:noMultiLvlLbl val="0"/>
      </c:catAx>
      <c:valAx>
        <c:axId val="4566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6605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171451</xdr:rowOff>
    </xdr:from>
    <xdr:to>
      <xdr:col>3</xdr:col>
      <xdr:colOff>0</xdr:colOff>
      <xdr:row>6</xdr:row>
      <xdr:rowOff>144687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8EBA5F6-1BEF-40A0-9CF8-6687D224716E}"/>
            </a:ext>
          </a:extLst>
        </xdr:cNvPr>
        <xdr:cNvGrpSpPr/>
      </xdr:nvGrpSpPr>
      <xdr:grpSpPr>
        <a:xfrm>
          <a:off x="2114550" y="171451"/>
          <a:ext cx="0" cy="1116236"/>
          <a:chOff x="773374" y="81693"/>
          <a:chExt cx="631592" cy="529669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500AC93D-C358-4898-BDDE-01B1D939DD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1401" y="81693"/>
            <a:ext cx="459593" cy="438415"/>
          </a:xfrm>
          <a:prstGeom prst="rect">
            <a:avLst/>
          </a:prstGeom>
        </xdr:spPr>
      </xdr:pic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A52D5BDE-DEAB-47A6-845B-8B8C17482182}"/>
              </a:ext>
            </a:extLst>
          </xdr:cNvPr>
          <xdr:cNvSpPr txBox="1"/>
        </xdr:nvSpPr>
        <xdr:spPr>
          <a:xfrm>
            <a:off x="773374" y="522975"/>
            <a:ext cx="631592" cy="883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600">
                <a:solidFill>
                  <a:schemeClr val="bg1"/>
                </a:solidFill>
              </a:rPr>
              <a:t>"EL  MUNDO</a:t>
            </a:r>
            <a:r>
              <a:rPr lang="es-PE" sz="600" baseline="0">
                <a:solidFill>
                  <a:schemeClr val="bg1"/>
                </a:solidFill>
              </a:rPr>
              <a:t> DEL CONOCIMIENTO</a:t>
            </a:r>
            <a:r>
              <a:rPr lang="es-PE" sz="600">
                <a:solidFill>
                  <a:schemeClr val="bg1"/>
                </a:solidFill>
              </a:rPr>
              <a:t>"</a:t>
            </a:r>
          </a:p>
        </xdr:txBody>
      </xdr:sp>
    </xdr:grpSp>
    <xdr:clientData/>
  </xdr:twoCellAnchor>
  <xdr:twoCellAnchor>
    <xdr:from>
      <xdr:col>5</xdr:col>
      <xdr:colOff>0</xdr:colOff>
      <xdr:row>0</xdr:row>
      <xdr:rowOff>171451</xdr:rowOff>
    </xdr:from>
    <xdr:to>
      <xdr:col>5</xdr:col>
      <xdr:colOff>0</xdr:colOff>
      <xdr:row>6</xdr:row>
      <xdr:rowOff>144687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1D2DB8BA-F609-4E53-86D7-069DE424861D}"/>
            </a:ext>
          </a:extLst>
        </xdr:cNvPr>
        <xdr:cNvGrpSpPr/>
      </xdr:nvGrpSpPr>
      <xdr:grpSpPr>
        <a:xfrm>
          <a:off x="3638550" y="171451"/>
          <a:ext cx="0" cy="1116236"/>
          <a:chOff x="773374" y="81693"/>
          <a:chExt cx="631592" cy="529669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19491DA1-2FF3-481B-BD7E-F54FE24F94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1401" y="81693"/>
            <a:ext cx="459593" cy="438415"/>
          </a:xfrm>
          <a:prstGeom prst="rect">
            <a:avLst/>
          </a:prstGeom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C4453423-AA27-4B21-BDBC-DD38893B2408}"/>
              </a:ext>
            </a:extLst>
          </xdr:cNvPr>
          <xdr:cNvSpPr txBox="1"/>
        </xdr:nvSpPr>
        <xdr:spPr>
          <a:xfrm>
            <a:off x="773374" y="522975"/>
            <a:ext cx="631592" cy="883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600">
                <a:solidFill>
                  <a:schemeClr val="bg1"/>
                </a:solidFill>
              </a:rPr>
              <a:t>"EL  MUNDO</a:t>
            </a:r>
            <a:r>
              <a:rPr lang="es-PE" sz="600" baseline="0">
                <a:solidFill>
                  <a:schemeClr val="bg1"/>
                </a:solidFill>
              </a:rPr>
              <a:t> DEL CONOCIMIENTO</a:t>
            </a:r>
            <a:r>
              <a:rPr lang="es-PE" sz="600">
                <a:solidFill>
                  <a:schemeClr val="bg1"/>
                </a:solidFill>
              </a:rPr>
              <a:t>"</a:t>
            </a:r>
          </a:p>
        </xdr:txBody>
      </xdr:sp>
    </xdr:grpSp>
    <xdr:clientData/>
  </xdr:twoCellAnchor>
  <xdr:twoCellAnchor>
    <xdr:from>
      <xdr:col>4</xdr:col>
      <xdr:colOff>28577</xdr:colOff>
      <xdr:row>13</xdr:row>
      <xdr:rowOff>104775</xdr:rowOff>
    </xdr:from>
    <xdr:to>
      <xdr:col>7</xdr:col>
      <xdr:colOff>66676</xdr:colOff>
      <xdr:row>18</xdr:row>
      <xdr:rowOff>133350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3453F9D-E446-4E82-8909-85662FDD2F51}"/>
            </a:ext>
          </a:extLst>
        </xdr:cNvPr>
        <xdr:cNvSpPr/>
      </xdr:nvSpPr>
      <xdr:spPr>
        <a:xfrm>
          <a:off x="2905127" y="2581275"/>
          <a:ext cx="7324724" cy="981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800">
              <a:solidFill>
                <a:schemeClr val="bg1"/>
              </a:solidFill>
            </a:rPr>
            <a:t>MICROSOFT EXCEL - NIVEL AVANZADO</a:t>
          </a:r>
        </a:p>
      </xdr:txBody>
    </xdr:sp>
    <xdr:clientData/>
  </xdr:twoCellAnchor>
  <xdr:twoCellAnchor>
    <xdr:from>
      <xdr:col>6</xdr:col>
      <xdr:colOff>0</xdr:colOff>
      <xdr:row>1</xdr:row>
      <xdr:rowOff>47626</xdr:rowOff>
    </xdr:from>
    <xdr:to>
      <xdr:col>6</xdr:col>
      <xdr:colOff>0</xdr:colOff>
      <xdr:row>7</xdr:row>
      <xdr:rowOff>20862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49DE7AFD-57E9-4642-AF05-F886E536A601}"/>
            </a:ext>
          </a:extLst>
        </xdr:cNvPr>
        <xdr:cNvGrpSpPr/>
      </xdr:nvGrpSpPr>
      <xdr:grpSpPr>
        <a:xfrm>
          <a:off x="9401175" y="238126"/>
          <a:ext cx="0" cy="1116236"/>
          <a:chOff x="773374" y="81693"/>
          <a:chExt cx="648949" cy="529669"/>
        </a:xfrm>
      </xdr:grpSpPr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C6BC44B3-8127-4202-9BEF-46420D6E38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1401" y="81693"/>
            <a:ext cx="459593" cy="438415"/>
          </a:xfrm>
          <a:prstGeom prst="rect">
            <a:avLst/>
          </a:prstGeom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44B3EC3E-5072-46B6-9F17-029DF9CBA523}"/>
              </a:ext>
            </a:extLst>
          </xdr:cNvPr>
          <xdr:cNvSpPr txBox="1"/>
        </xdr:nvSpPr>
        <xdr:spPr>
          <a:xfrm>
            <a:off x="773374" y="522975"/>
            <a:ext cx="648949" cy="883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600" b="1">
                <a:solidFill>
                  <a:srgbClr val="002060"/>
                </a:solidFill>
              </a:rPr>
              <a:t>"EL  MUNDO</a:t>
            </a:r>
            <a:r>
              <a:rPr lang="es-PE" sz="600" b="1" baseline="0">
                <a:solidFill>
                  <a:srgbClr val="002060"/>
                </a:solidFill>
              </a:rPr>
              <a:t> DEL CONOCIMIENTO</a:t>
            </a:r>
            <a:r>
              <a:rPr lang="es-PE" sz="600" b="1">
                <a:solidFill>
                  <a:srgbClr val="002060"/>
                </a:solidFill>
              </a:rPr>
              <a:t>"</a:t>
            </a:r>
          </a:p>
        </xdr:txBody>
      </xdr:sp>
    </xdr:grpSp>
    <xdr:clientData/>
  </xdr:twoCellAnchor>
  <xdr:twoCellAnchor>
    <xdr:from>
      <xdr:col>5</xdr:col>
      <xdr:colOff>761999</xdr:colOff>
      <xdr:row>0</xdr:row>
      <xdr:rowOff>171451</xdr:rowOff>
    </xdr:from>
    <xdr:to>
      <xdr:col>5</xdr:col>
      <xdr:colOff>761999</xdr:colOff>
      <xdr:row>6</xdr:row>
      <xdr:rowOff>106587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A985932C-2A94-4499-B6B3-ABD43F7DB0E8}"/>
            </a:ext>
          </a:extLst>
        </xdr:cNvPr>
        <xdr:cNvGrpSpPr/>
      </xdr:nvGrpSpPr>
      <xdr:grpSpPr>
        <a:xfrm>
          <a:off x="4400549" y="171451"/>
          <a:ext cx="0" cy="1078136"/>
          <a:chOff x="773374" y="99772"/>
          <a:chExt cx="642221" cy="511590"/>
        </a:xfrm>
      </xdr:grpSpPr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63E4A790-80C8-44B9-B9FC-1BB2735B8E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5549" y="99772"/>
            <a:ext cx="463578" cy="438415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39BCE5-FB7B-4AFE-B9B7-270296A18AD4}"/>
              </a:ext>
            </a:extLst>
          </xdr:cNvPr>
          <xdr:cNvSpPr txBox="1"/>
        </xdr:nvSpPr>
        <xdr:spPr>
          <a:xfrm>
            <a:off x="773374" y="522975"/>
            <a:ext cx="642221" cy="883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600" b="1">
                <a:solidFill>
                  <a:srgbClr val="002060"/>
                </a:solidFill>
              </a:rPr>
              <a:t>"EL  MUNDO</a:t>
            </a:r>
            <a:r>
              <a:rPr lang="es-PE" sz="600" b="1" baseline="0">
                <a:solidFill>
                  <a:srgbClr val="002060"/>
                </a:solidFill>
              </a:rPr>
              <a:t> DEL CONOCIMIENTO</a:t>
            </a:r>
            <a:r>
              <a:rPr lang="es-PE" sz="600" b="1">
                <a:solidFill>
                  <a:srgbClr val="002060"/>
                </a:solidFill>
              </a:rPr>
              <a:t>"</a:t>
            </a:r>
          </a:p>
        </xdr:txBody>
      </xdr:sp>
    </xdr:grpSp>
    <xdr:clientData/>
  </xdr:twoCellAnchor>
  <xdr:twoCellAnchor>
    <xdr:from>
      <xdr:col>6</xdr:col>
      <xdr:colOff>0</xdr:colOff>
      <xdr:row>1</xdr:row>
      <xdr:rowOff>28575</xdr:rowOff>
    </xdr:from>
    <xdr:to>
      <xdr:col>6</xdr:col>
      <xdr:colOff>0</xdr:colOff>
      <xdr:row>7</xdr:row>
      <xdr:rowOff>1811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B29E2C18-4A21-44C3-A506-500B0B2D6865}"/>
            </a:ext>
          </a:extLst>
        </xdr:cNvPr>
        <xdr:cNvGrpSpPr/>
      </xdr:nvGrpSpPr>
      <xdr:grpSpPr>
        <a:xfrm>
          <a:off x="9401175" y="219075"/>
          <a:ext cx="0" cy="1116236"/>
          <a:chOff x="773374" y="81693"/>
          <a:chExt cx="648949" cy="529669"/>
        </a:xfrm>
      </xdr:grpSpPr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B44BF8C2-A278-4D00-B64B-95AC2164A0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1401" y="81693"/>
            <a:ext cx="459593" cy="438415"/>
          </a:xfrm>
          <a:prstGeom prst="rect">
            <a:avLst/>
          </a:prstGeom>
        </xdr:spPr>
      </xdr:pic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719DC6ED-093C-4725-809C-889E6DA5DA13}"/>
              </a:ext>
            </a:extLst>
          </xdr:cNvPr>
          <xdr:cNvSpPr txBox="1"/>
        </xdr:nvSpPr>
        <xdr:spPr>
          <a:xfrm>
            <a:off x="773374" y="522975"/>
            <a:ext cx="648949" cy="883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600" b="1">
                <a:solidFill>
                  <a:srgbClr val="002060"/>
                </a:solidFill>
              </a:rPr>
              <a:t>"EL  MUNDO</a:t>
            </a:r>
            <a:r>
              <a:rPr lang="es-PE" sz="600" b="1" baseline="0">
                <a:solidFill>
                  <a:srgbClr val="002060"/>
                </a:solidFill>
              </a:rPr>
              <a:t> DEL CONOCIMIENTO</a:t>
            </a:r>
            <a:r>
              <a:rPr lang="es-PE" sz="600" b="1">
                <a:solidFill>
                  <a:srgbClr val="002060"/>
                </a:solidFill>
              </a:rPr>
              <a:t>"</a:t>
            </a:r>
          </a:p>
        </xdr:txBody>
      </xdr:sp>
    </xdr:grpSp>
    <xdr:clientData/>
  </xdr:twoCellAnchor>
  <xdr:twoCellAnchor>
    <xdr:from>
      <xdr:col>6</xdr:col>
      <xdr:colOff>0</xdr:colOff>
      <xdr:row>1</xdr:row>
      <xdr:rowOff>57150</xdr:rowOff>
    </xdr:from>
    <xdr:to>
      <xdr:col>6</xdr:col>
      <xdr:colOff>0</xdr:colOff>
      <xdr:row>7</xdr:row>
      <xdr:rowOff>30386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CEEED210-BB56-432F-90AA-DF651055A4EB}"/>
            </a:ext>
          </a:extLst>
        </xdr:cNvPr>
        <xdr:cNvGrpSpPr/>
      </xdr:nvGrpSpPr>
      <xdr:grpSpPr>
        <a:xfrm>
          <a:off x="9401175" y="247650"/>
          <a:ext cx="0" cy="1116236"/>
          <a:chOff x="773374" y="81693"/>
          <a:chExt cx="648949" cy="529669"/>
        </a:xfrm>
      </xdr:grpSpPr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E8A9F883-3260-4BAA-B3CF-A37F66173E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1401" y="81693"/>
            <a:ext cx="459593" cy="438415"/>
          </a:xfrm>
          <a:prstGeom prst="rect">
            <a:avLst/>
          </a:prstGeom>
        </xdr:spPr>
      </xdr:pic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5CBE9F15-35AE-4691-883F-04DFC93F16B8}"/>
              </a:ext>
            </a:extLst>
          </xdr:cNvPr>
          <xdr:cNvSpPr txBox="1"/>
        </xdr:nvSpPr>
        <xdr:spPr>
          <a:xfrm>
            <a:off x="773374" y="522975"/>
            <a:ext cx="648949" cy="883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600" b="1">
                <a:solidFill>
                  <a:srgbClr val="002060"/>
                </a:solidFill>
              </a:rPr>
              <a:t>"EL  MUNDO</a:t>
            </a:r>
            <a:r>
              <a:rPr lang="es-PE" sz="600" b="1" baseline="0">
                <a:solidFill>
                  <a:srgbClr val="002060"/>
                </a:solidFill>
              </a:rPr>
              <a:t> DEL CONOCIMIENTO</a:t>
            </a:r>
            <a:r>
              <a:rPr lang="es-PE" sz="600" b="1">
                <a:solidFill>
                  <a:srgbClr val="002060"/>
                </a:solidFill>
              </a:rPr>
              <a:t>"</a:t>
            </a:r>
          </a:p>
        </xdr:txBody>
      </xdr:sp>
    </xdr:grpSp>
    <xdr:clientData/>
  </xdr:twoCellAnchor>
  <xdr:twoCellAnchor editAs="oneCell">
    <xdr:from>
      <xdr:col>5</xdr:col>
      <xdr:colOff>1828800</xdr:colOff>
      <xdr:row>0</xdr:row>
      <xdr:rowOff>152400</xdr:rowOff>
    </xdr:from>
    <xdr:to>
      <xdr:col>5</xdr:col>
      <xdr:colOff>4312599</xdr:colOff>
      <xdr:row>12</xdr:row>
      <xdr:rowOff>187069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386CFB-9334-784E-56CF-571D3B3EE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152400"/>
          <a:ext cx="2483799" cy="2320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0</xdr:row>
      <xdr:rowOff>133349</xdr:rowOff>
    </xdr:from>
    <xdr:ext cx="2666307" cy="468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6C856D3-0FDA-44A7-B448-339A4A2CFF78}"/>
            </a:ext>
          </a:extLst>
        </xdr:cNvPr>
        <xdr:cNvSpPr txBox="1"/>
      </xdr:nvSpPr>
      <xdr:spPr>
        <a:xfrm>
          <a:off x="4581525" y="133349"/>
          <a:ext cx="266630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>
              <a:solidFill>
                <a:schemeClr val="bg1"/>
              </a:solidFill>
            </a:rPr>
            <a:t>TABLAS</a:t>
          </a:r>
          <a:r>
            <a:rPr lang="es-PE" sz="2400" baseline="0">
              <a:solidFill>
                <a:schemeClr val="bg1"/>
              </a:solidFill>
            </a:rPr>
            <a:t> DINAMICAS</a:t>
          </a:r>
          <a:endParaRPr lang="es-PE" sz="24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257175</xdr:colOff>
      <xdr:row>21</xdr:row>
      <xdr:rowOff>161925</xdr:rowOff>
    </xdr:from>
    <xdr:to>
      <xdr:col>10</xdr:col>
      <xdr:colOff>47625</xdr:colOff>
      <xdr:row>24</xdr:row>
      <xdr:rowOff>133350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C1900D41-CEE7-4E9D-958B-75CD60AB3145}"/>
            </a:ext>
          </a:extLst>
        </xdr:cNvPr>
        <xdr:cNvSpPr/>
      </xdr:nvSpPr>
      <xdr:spPr>
        <a:xfrm>
          <a:off x="6353175" y="3400425"/>
          <a:ext cx="1314450" cy="5429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SUMA DE VALORES</a:t>
          </a:r>
        </a:p>
      </xdr:txBody>
    </xdr:sp>
    <xdr:clientData/>
  </xdr:twoCellAnchor>
  <xdr:twoCellAnchor>
    <xdr:from>
      <xdr:col>1</xdr:col>
      <xdr:colOff>714374</xdr:colOff>
      <xdr:row>9</xdr:row>
      <xdr:rowOff>142875</xdr:rowOff>
    </xdr:from>
    <xdr:to>
      <xdr:col>5</xdr:col>
      <xdr:colOff>571499</xdr:colOff>
      <xdr:row>11</xdr:row>
      <xdr:rowOff>38100</xdr:rowOff>
    </xdr:to>
    <xdr:sp macro="" textlink="">
      <xdr:nvSpPr>
        <xdr:cNvPr id="29" name="Diagrama de flujo: proceso 28">
          <a:extLst>
            <a:ext uri="{FF2B5EF4-FFF2-40B4-BE49-F238E27FC236}">
              <a16:creationId xmlns:a16="http://schemas.microsoft.com/office/drawing/2014/main" id="{BF42602B-BFBA-4449-BFD8-9C982D5D9E0B}"/>
            </a:ext>
          </a:extLst>
        </xdr:cNvPr>
        <xdr:cNvSpPr/>
      </xdr:nvSpPr>
      <xdr:spPr>
        <a:xfrm>
          <a:off x="1476374" y="1095375"/>
          <a:ext cx="2905125" cy="276225"/>
        </a:xfrm>
        <a:prstGeom prst="flowChartProcess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latin typeface="Algerian" panose="04020705040A02060702" pitchFamily="82" charset="0"/>
            </a:rPr>
            <a:t>FILTROS</a:t>
          </a:r>
        </a:p>
      </xdr:txBody>
    </xdr:sp>
    <xdr:clientData/>
  </xdr:twoCellAnchor>
  <xdr:twoCellAnchor>
    <xdr:from>
      <xdr:col>4</xdr:col>
      <xdr:colOff>152400</xdr:colOff>
      <xdr:row>13</xdr:row>
      <xdr:rowOff>19050</xdr:rowOff>
    </xdr:from>
    <xdr:to>
      <xdr:col>5</xdr:col>
      <xdr:colOff>704850</xdr:colOff>
      <xdr:row>15</xdr:row>
      <xdr:rowOff>47625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9D77F612-50F3-484D-AB66-EB46F553D974}"/>
            </a:ext>
          </a:extLst>
        </xdr:cNvPr>
        <xdr:cNvSpPr/>
      </xdr:nvSpPr>
      <xdr:spPr>
        <a:xfrm>
          <a:off x="3200400" y="1733550"/>
          <a:ext cx="1314450" cy="409575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COLUMNA</a:t>
          </a:r>
        </a:p>
      </xdr:txBody>
    </xdr:sp>
    <xdr:clientData/>
  </xdr:twoCellAnchor>
  <xdr:twoCellAnchor>
    <xdr:from>
      <xdr:col>6</xdr:col>
      <xdr:colOff>180975</xdr:colOff>
      <xdr:row>13</xdr:row>
      <xdr:rowOff>28575</xdr:rowOff>
    </xdr:from>
    <xdr:to>
      <xdr:col>7</xdr:col>
      <xdr:colOff>733425</xdr:colOff>
      <xdr:row>15</xdr:row>
      <xdr:rowOff>57150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EADFF61C-32AB-4562-AE4B-A8F1AB082C94}"/>
            </a:ext>
          </a:extLst>
        </xdr:cNvPr>
        <xdr:cNvSpPr/>
      </xdr:nvSpPr>
      <xdr:spPr>
        <a:xfrm>
          <a:off x="4752975" y="1743075"/>
          <a:ext cx="1314450" cy="409575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COLUMNA</a:t>
          </a:r>
        </a:p>
      </xdr:txBody>
    </xdr:sp>
    <xdr:clientData/>
  </xdr:twoCellAnchor>
  <xdr:twoCellAnchor>
    <xdr:from>
      <xdr:col>8</xdr:col>
      <xdr:colOff>314325</xdr:colOff>
      <xdr:row>13</xdr:row>
      <xdr:rowOff>28575</xdr:rowOff>
    </xdr:from>
    <xdr:to>
      <xdr:col>10</xdr:col>
      <xdr:colOff>104775</xdr:colOff>
      <xdr:row>15</xdr:row>
      <xdr:rowOff>57150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87AAFCA-2D2A-4E62-85B2-064EAEF3D817}"/>
            </a:ext>
          </a:extLst>
        </xdr:cNvPr>
        <xdr:cNvSpPr/>
      </xdr:nvSpPr>
      <xdr:spPr>
        <a:xfrm>
          <a:off x="6410325" y="1743075"/>
          <a:ext cx="1314450" cy="409575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COLUMNA</a:t>
          </a:r>
        </a:p>
      </xdr:txBody>
    </xdr:sp>
    <xdr:clientData/>
  </xdr:twoCellAnchor>
  <xdr:twoCellAnchor>
    <xdr:from>
      <xdr:col>4</xdr:col>
      <xdr:colOff>152400</xdr:colOff>
      <xdr:row>18</xdr:row>
      <xdr:rowOff>0</xdr:rowOff>
    </xdr:from>
    <xdr:to>
      <xdr:col>5</xdr:col>
      <xdr:colOff>704850</xdr:colOff>
      <xdr:row>21</xdr:row>
      <xdr:rowOff>9525</xdr:rowOff>
    </xdr:to>
    <xdr:sp macro="" textlink="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45D4EA88-591B-401D-9AEB-972A2886C163}"/>
            </a:ext>
          </a:extLst>
        </xdr:cNvPr>
        <xdr:cNvSpPr/>
      </xdr:nvSpPr>
      <xdr:spPr>
        <a:xfrm>
          <a:off x="3200400" y="2667000"/>
          <a:ext cx="1314450" cy="5810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SUMA</a:t>
          </a:r>
          <a:r>
            <a:rPr lang="es-PE" sz="1100" b="0" baseline="0">
              <a:latin typeface="Algerian" panose="04020705040A02060702" pitchFamily="82" charset="0"/>
            </a:rPr>
            <a:t> DE VALORES</a:t>
          </a:r>
          <a:endParaRPr lang="es-PE" sz="1100" b="0">
            <a:latin typeface="Algerian" panose="04020705040A02060702" pitchFamily="82" charset="0"/>
          </a:endParaRPr>
        </a:p>
      </xdr:txBody>
    </xdr:sp>
    <xdr:clientData/>
  </xdr:twoCellAnchor>
  <xdr:twoCellAnchor>
    <xdr:from>
      <xdr:col>4</xdr:col>
      <xdr:colOff>133350</xdr:colOff>
      <xdr:row>21</xdr:row>
      <xdr:rowOff>133350</xdr:rowOff>
    </xdr:from>
    <xdr:to>
      <xdr:col>5</xdr:col>
      <xdr:colOff>685800</xdr:colOff>
      <xdr:row>24</xdr:row>
      <xdr:rowOff>104775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A90632D8-55D3-4B76-95DA-1A54ED1DC156}"/>
            </a:ext>
          </a:extLst>
        </xdr:cNvPr>
        <xdr:cNvSpPr/>
      </xdr:nvSpPr>
      <xdr:spPr>
        <a:xfrm>
          <a:off x="3181350" y="3371850"/>
          <a:ext cx="1314450" cy="5429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SUMA DE VALORES</a:t>
          </a:r>
        </a:p>
      </xdr:txBody>
    </xdr:sp>
    <xdr:clientData/>
  </xdr:twoCellAnchor>
  <xdr:twoCellAnchor>
    <xdr:from>
      <xdr:col>6</xdr:col>
      <xdr:colOff>180975</xdr:colOff>
      <xdr:row>18</xdr:row>
      <xdr:rowOff>19050</xdr:rowOff>
    </xdr:from>
    <xdr:to>
      <xdr:col>7</xdr:col>
      <xdr:colOff>733425</xdr:colOff>
      <xdr:row>20</xdr:row>
      <xdr:rowOff>152400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D90478AD-A0F0-49E5-945F-0FB91901A76D}"/>
            </a:ext>
          </a:extLst>
        </xdr:cNvPr>
        <xdr:cNvSpPr/>
      </xdr:nvSpPr>
      <xdr:spPr>
        <a:xfrm>
          <a:off x="4752975" y="2686050"/>
          <a:ext cx="1314450" cy="5143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SUMA DE VALORES</a:t>
          </a:r>
        </a:p>
      </xdr:txBody>
    </xdr:sp>
    <xdr:clientData/>
  </xdr:twoCellAnchor>
  <xdr:twoCellAnchor>
    <xdr:from>
      <xdr:col>6</xdr:col>
      <xdr:colOff>209550</xdr:colOff>
      <xdr:row>21</xdr:row>
      <xdr:rowOff>142876</xdr:rowOff>
    </xdr:from>
    <xdr:to>
      <xdr:col>8</xdr:col>
      <xdr:colOff>0</xdr:colOff>
      <xdr:row>24</xdr:row>
      <xdr:rowOff>123826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3FD8B4EA-2AE5-4159-816F-9372B6CAD76F}"/>
            </a:ext>
          </a:extLst>
        </xdr:cNvPr>
        <xdr:cNvSpPr/>
      </xdr:nvSpPr>
      <xdr:spPr>
        <a:xfrm>
          <a:off x="4781550" y="3381376"/>
          <a:ext cx="1314450" cy="5524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SUMA DE VALORES</a:t>
          </a:r>
        </a:p>
      </xdr:txBody>
    </xdr:sp>
    <xdr:clientData/>
  </xdr:twoCellAnchor>
  <xdr:twoCellAnchor>
    <xdr:from>
      <xdr:col>1</xdr:col>
      <xdr:colOff>657225</xdr:colOff>
      <xdr:row>12</xdr:row>
      <xdr:rowOff>171450</xdr:rowOff>
    </xdr:from>
    <xdr:to>
      <xdr:col>3</xdr:col>
      <xdr:colOff>447675</xdr:colOff>
      <xdr:row>15</xdr:row>
      <xdr:rowOff>9525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DE63D73A-E7AA-4507-9EC8-E51407E34D41}"/>
            </a:ext>
          </a:extLst>
        </xdr:cNvPr>
        <xdr:cNvSpPr/>
      </xdr:nvSpPr>
      <xdr:spPr>
        <a:xfrm>
          <a:off x="1419225" y="1695450"/>
          <a:ext cx="1314450" cy="4095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FILA</a:t>
          </a:r>
        </a:p>
      </xdr:txBody>
    </xdr:sp>
    <xdr:clientData/>
  </xdr:twoCellAnchor>
  <xdr:twoCellAnchor>
    <xdr:from>
      <xdr:col>3</xdr:col>
      <xdr:colOff>533400</xdr:colOff>
      <xdr:row>13</xdr:row>
      <xdr:rowOff>0</xdr:rowOff>
    </xdr:from>
    <xdr:to>
      <xdr:col>3</xdr:col>
      <xdr:colOff>723900</xdr:colOff>
      <xdr:row>26</xdr:row>
      <xdr:rowOff>161925</xdr:rowOff>
    </xdr:to>
    <xdr:sp macro="" textlink="">
      <xdr:nvSpPr>
        <xdr:cNvPr id="38" name="Flecha: hacia abajo 37">
          <a:extLst>
            <a:ext uri="{FF2B5EF4-FFF2-40B4-BE49-F238E27FC236}">
              <a16:creationId xmlns:a16="http://schemas.microsoft.com/office/drawing/2014/main" id="{7D3E5643-5C38-4699-97B9-388927A4A850}"/>
            </a:ext>
          </a:extLst>
        </xdr:cNvPr>
        <xdr:cNvSpPr/>
      </xdr:nvSpPr>
      <xdr:spPr>
        <a:xfrm>
          <a:off x="2819400" y="1714500"/>
          <a:ext cx="190500" cy="2638425"/>
        </a:xfrm>
        <a:prstGeom prst="downArrow">
          <a:avLst>
            <a:gd name="adj1" fmla="val 100000"/>
            <a:gd name="adj2" fmla="val 48035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661988</xdr:colOff>
      <xdr:row>15</xdr:row>
      <xdr:rowOff>109538</xdr:rowOff>
    </xdr:from>
    <xdr:to>
      <xdr:col>10</xdr:col>
      <xdr:colOff>247653</xdr:colOff>
      <xdr:row>16</xdr:row>
      <xdr:rowOff>104776</xdr:rowOff>
    </xdr:to>
    <xdr:sp macro="" textlink="">
      <xdr:nvSpPr>
        <xdr:cNvPr id="39" name="Flecha: hacia abajo 38">
          <a:extLst>
            <a:ext uri="{FF2B5EF4-FFF2-40B4-BE49-F238E27FC236}">
              <a16:creationId xmlns:a16="http://schemas.microsoft.com/office/drawing/2014/main" id="{B95FE049-DA4F-4784-8905-704986D43BE2}"/>
            </a:ext>
          </a:extLst>
        </xdr:cNvPr>
        <xdr:cNvSpPr/>
      </xdr:nvSpPr>
      <xdr:spPr>
        <a:xfrm rot="16200000">
          <a:off x="4552952" y="-923926"/>
          <a:ext cx="185738" cy="6443665"/>
        </a:xfrm>
        <a:prstGeom prst="downArrow">
          <a:avLst>
            <a:gd name="adj1" fmla="val 100000"/>
            <a:gd name="adj2" fmla="val 48035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638175</xdr:colOff>
      <xdr:row>18</xdr:row>
      <xdr:rowOff>28575</xdr:rowOff>
    </xdr:from>
    <xdr:to>
      <xdr:col>3</xdr:col>
      <xdr:colOff>428625</xdr:colOff>
      <xdr:row>20</xdr:row>
      <xdr:rowOff>57150</xdr:rowOff>
    </xdr:to>
    <xdr:sp macro="" textlink="">
      <xdr:nvSpPr>
        <xdr:cNvPr id="40" name="Rectángulo: esquinas redondeadas 39">
          <a:extLst>
            <a:ext uri="{FF2B5EF4-FFF2-40B4-BE49-F238E27FC236}">
              <a16:creationId xmlns:a16="http://schemas.microsoft.com/office/drawing/2014/main" id="{CFA08BDB-C5A2-4953-B254-E2B8777B559D}"/>
            </a:ext>
          </a:extLst>
        </xdr:cNvPr>
        <xdr:cNvSpPr/>
      </xdr:nvSpPr>
      <xdr:spPr>
        <a:xfrm>
          <a:off x="1400175" y="2695575"/>
          <a:ext cx="1314450" cy="4095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FILA</a:t>
          </a:r>
        </a:p>
      </xdr:txBody>
    </xdr:sp>
    <xdr:clientData/>
  </xdr:twoCellAnchor>
  <xdr:twoCellAnchor>
    <xdr:from>
      <xdr:col>1</xdr:col>
      <xdr:colOff>666750</xdr:colOff>
      <xdr:row>22</xdr:row>
      <xdr:rowOff>104775</xdr:rowOff>
    </xdr:from>
    <xdr:to>
      <xdr:col>3</xdr:col>
      <xdr:colOff>457200</xdr:colOff>
      <xdr:row>24</xdr:row>
      <xdr:rowOff>133350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A61766AA-CB80-4489-9583-14971AE6FDE6}"/>
            </a:ext>
          </a:extLst>
        </xdr:cNvPr>
        <xdr:cNvSpPr/>
      </xdr:nvSpPr>
      <xdr:spPr>
        <a:xfrm>
          <a:off x="1428750" y="3533775"/>
          <a:ext cx="1314450" cy="4095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FILA</a:t>
          </a:r>
        </a:p>
      </xdr:txBody>
    </xdr:sp>
    <xdr:clientData/>
  </xdr:twoCellAnchor>
  <xdr:twoCellAnchor>
    <xdr:from>
      <xdr:col>8</xdr:col>
      <xdr:colOff>276225</xdr:colOff>
      <xdr:row>18</xdr:row>
      <xdr:rowOff>0</xdr:rowOff>
    </xdr:from>
    <xdr:to>
      <xdr:col>10</xdr:col>
      <xdr:colOff>66675</xdr:colOff>
      <xdr:row>20</xdr:row>
      <xdr:rowOff>180976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0E288110-D301-4363-854D-2236136DF7A2}"/>
            </a:ext>
          </a:extLst>
        </xdr:cNvPr>
        <xdr:cNvSpPr/>
      </xdr:nvSpPr>
      <xdr:spPr>
        <a:xfrm>
          <a:off x="6372225" y="2667000"/>
          <a:ext cx="1314450" cy="56197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 b="0">
              <a:latin typeface="Algerian" panose="04020705040A02060702" pitchFamily="82" charset="0"/>
            </a:rPr>
            <a:t>SUMA DE VALORES</a:t>
          </a:r>
        </a:p>
      </xdr:txBody>
    </xdr:sp>
    <xdr:clientData/>
  </xdr:twoCellAnchor>
  <xdr:twoCellAnchor editAs="oneCell">
    <xdr:from>
      <xdr:col>14</xdr:col>
      <xdr:colOff>647700</xdr:colOff>
      <xdr:row>0</xdr:row>
      <xdr:rowOff>104776</xdr:rowOff>
    </xdr:from>
    <xdr:to>
      <xdr:col>15</xdr:col>
      <xdr:colOff>436205</xdr:colOff>
      <xdr:row>3</xdr:row>
      <xdr:rowOff>47625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EDC93D1-C057-49B6-8B3B-ECADCFD85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5700" y="104776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0</xdr:row>
      <xdr:rowOff>133351</xdr:rowOff>
    </xdr:from>
    <xdr:to>
      <xdr:col>1</xdr:col>
      <xdr:colOff>159980</xdr:colOff>
      <xdr:row>3</xdr:row>
      <xdr:rowOff>76200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9ED39C5-AC7B-4FD5-A7DE-54CCC2CD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33351"/>
          <a:ext cx="550505" cy="5143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0</xdr:row>
      <xdr:rowOff>133349</xdr:rowOff>
    </xdr:from>
    <xdr:ext cx="2666307" cy="468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345F2CD-0D0B-45B7-99DA-5D72FAFF01EB}"/>
            </a:ext>
          </a:extLst>
        </xdr:cNvPr>
        <xdr:cNvSpPr txBox="1"/>
      </xdr:nvSpPr>
      <xdr:spPr>
        <a:xfrm>
          <a:off x="4581525" y="133349"/>
          <a:ext cx="266630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>
              <a:solidFill>
                <a:schemeClr val="bg1"/>
              </a:solidFill>
            </a:rPr>
            <a:t>TABLAS</a:t>
          </a:r>
          <a:r>
            <a:rPr lang="es-PE" sz="2400" baseline="0">
              <a:solidFill>
                <a:schemeClr val="bg1"/>
              </a:solidFill>
            </a:rPr>
            <a:t> DINAMICAS</a:t>
          </a:r>
          <a:endParaRPr lang="es-PE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15</xdr:col>
      <xdr:colOff>304800</xdr:colOff>
      <xdr:row>0</xdr:row>
      <xdr:rowOff>123825</xdr:rowOff>
    </xdr:from>
    <xdr:to>
      <xdr:col>16</xdr:col>
      <xdr:colOff>93305</xdr:colOff>
      <xdr:row>3</xdr:row>
      <xdr:rowOff>66674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E841801-ACE6-4EC8-89E9-8074170D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123825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0</xdr:row>
      <xdr:rowOff>142875</xdr:rowOff>
    </xdr:from>
    <xdr:to>
      <xdr:col>1</xdr:col>
      <xdr:colOff>26630</xdr:colOff>
      <xdr:row>3</xdr:row>
      <xdr:rowOff>85724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0BED91D-60B6-47EB-8325-546C407A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42875"/>
          <a:ext cx="550505" cy="514349"/>
        </a:xfrm>
        <a:prstGeom prst="rect">
          <a:avLst/>
        </a:prstGeom>
      </xdr:spPr>
    </xdr:pic>
    <xdr:clientData/>
  </xdr:twoCellAnchor>
  <xdr:twoCellAnchor>
    <xdr:from>
      <xdr:col>1</xdr:col>
      <xdr:colOff>567837</xdr:colOff>
      <xdr:row>41</xdr:row>
      <xdr:rowOff>148736</xdr:rowOff>
    </xdr:from>
    <xdr:to>
      <xdr:col>6</xdr:col>
      <xdr:colOff>318722</xdr:colOff>
      <xdr:row>56</xdr:row>
      <xdr:rowOff>34436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255ED2-0D6F-D17A-A631-EF8476236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740019</xdr:colOff>
      <xdr:row>39</xdr:row>
      <xdr:rowOff>73269</xdr:rowOff>
    </xdr:from>
    <xdr:to>
      <xdr:col>5</xdr:col>
      <xdr:colOff>29308</xdr:colOff>
      <xdr:row>41</xdr:row>
      <xdr:rowOff>73269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BA1614D2-4FDC-82E6-ADDF-C03060541176}"/>
            </a:ext>
          </a:extLst>
        </xdr:cNvPr>
        <xdr:cNvSpPr/>
      </xdr:nvSpPr>
      <xdr:spPr>
        <a:xfrm>
          <a:off x="3956538" y="7502769"/>
          <a:ext cx="461597" cy="3810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0</xdr:row>
      <xdr:rowOff>104774</xdr:rowOff>
    </xdr:from>
    <xdr:ext cx="1452129" cy="468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ECDB0AC-BEE3-45A3-8DD2-FB929A68677E}"/>
            </a:ext>
          </a:extLst>
        </xdr:cNvPr>
        <xdr:cNvSpPr txBox="1"/>
      </xdr:nvSpPr>
      <xdr:spPr>
        <a:xfrm>
          <a:off x="5172075" y="104774"/>
          <a:ext cx="145212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>
              <a:solidFill>
                <a:schemeClr val="bg1"/>
              </a:solidFill>
            </a:rPr>
            <a:t>GRAFICOS</a:t>
          </a:r>
        </a:p>
      </xdr:txBody>
    </xdr:sp>
    <xdr:clientData/>
  </xdr:oneCellAnchor>
  <xdr:twoCellAnchor editAs="oneCell">
    <xdr:from>
      <xdr:col>14</xdr:col>
      <xdr:colOff>104775</xdr:colOff>
      <xdr:row>0</xdr:row>
      <xdr:rowOff>114300</xdr:rowOff>
    </xdr:from>
    <xdr:to>
      <xdr:col>15</xdr:col>
      <xdr:colOff>255230</xdr:colOff>
      <xdr:row>3</xdr:row>
      <xdr:rowOff>57149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DEE4D74-AB9D-40E6-902A-CE3166BB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0975" y="114300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0</xdr:row>
      <xdr:rowOff>142875</xdr:rowOff>
    </xdr:from>
    <xdr:to>
      <xdr:col>1</xdr:col>
      <xdr:colOff>455255</xdr:colOff>
      <xdr:row>3</xdr:row>
      <xdr:rowOff>85724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2C75667-630E-48B6-A1A6-F571A397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2875"/>
          <a:ext cx="550505" cy="514349"/>
        </a:xfrm>
        <a:prstGeom prst="rect">
          <a:avLst/>
        </a:prstGeom>
      </xdr:spPr>
    </xdr:pic>
    <xdr:clientData/>
  </xdr:twoCellAnchor>
  <xdr:twoCellAnchor>
    <xdr:from>
      <xdr:col>12</xdr:col>
      <xdr:colOff>561974</xdr:colOff>
      <xdr:row>3</xdr:row>
      <xdr:rowOff>161924</xdr:rowOff>
    </xdr:from>
    <xdr:to>
      <xdr:col>20</xdr:col>
      <xdr:colOff>333375</xdr:colOff>
      <xdr:row>17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8DC900-913F-533F-E618-6B297286F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0</xdr:row>
      <xdr:rowOff>133349</xdr:rowOff>
    </xdr:from>
    <xdr:ext cx="2666307" cy="468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4F16757-5B0A-412F-BC92-C6DF19DBBF61}"/>
            </a:ext>
          </a:extLst>
        </xdr:cNvPr>
        <xdr:cNvSpPr txBox="1"/>
      </xdr:nvSpPr>
      <xdr:spPr>
        <a:xfrm>
          <a:off x="4581525" y="133349"/>
          <a:ext cx="266630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>
              <a:solidFill>
                <a:schemeClr val="bg1"/>
              </a:solidFill>
            </a:rPr>
            <a:t>TABLAS</a:t>
          </a:r>
          <a:r>
            <a:rPr lang="es-PE" sz="2400" baseline="0">
              <a:solidFill>
                <a:schemeClr val="bg1"/>
              </a:solidFill>
            </a:rPr>
            <a:t> DINAMICAS</a:t>
          </a:r>
          <a:endParaRPr lang="es-PE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15</xdr:col>
      <xdr:colOff>200025</xdr:colOff>
      <xdr:row>0</xdr:row>
      <xdr:rowOff>123825</xdr:rowOff>
    </xdr:from>
    <xdr:to>
      <xdr:col>15</xdr:col>
      <xdr:colOff>750530</xdr:colOff>
      <xdr:row>3</xdr:row>
      <xdr:rowOff>66674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42E5640-D9F0-4193-A5CA-C4246237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2450" y="123825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152400</xdr:rowOff>
    </xdr:from>
    <xdr:to>
      <xdr:col>1</xdr:col>
      <xdr:colOff>826730</xdr:colOff>
      <xdr:row>3</xdr:row>
      <xdr:rowOff>95249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5532356-EE24-4A8B-9254-29DA1D41D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52400"/>
          <a:ext cx="550505" cy="514349"/>
        </a:xfrm>
        <a:prstGeom prst="rect">
          <a:avLst/>
        </a:prstGeom>
      </xdr:spPr>
    </xdr:pic>
    <xdr:clientData/>
  </xdr:twoCellAnchor>
  <xdr:twoCellAnchor>
    <xdr:from>
      <xdr:col>15</xdr:col>
      <xdr:colOff>333374</xdr:colOff>
      <xdr:row>59</xdr:row>
      <xdr:rowOff>171449</xdr:rowOff>
    </xdr:from>
    <xdr:to>
      <xdr:col>25</xdr:col>
      <xdr:colOff>533400</xdr:colOff>
      <xdr:row>83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DCFF2-E53E-C550-2D9B-E60BF4FCA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552450</xdr:colOff>
      <xdr:row>0</xdr:row>
      <xdr:rowOff>104774</xdr:rowOff>
    </xdr:from>
    <xdr:ext cx="5312160" cy="468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F9E887A-BE5A-46CF-B09E-9E7D5930B2AA}"/>
            </a:ext>
          </a:extLst>
        </xdr:cNvPr>
        <xdr:cNvSpPr txBox="1"/>
      </xdr:nvSpPr>
      <xdr:spPr>
        <a:xfrm>
          <a:off x="3600450" y="104774"/>
          <a:ext cx="531216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>
              <a:solidFill>
                <a:schemeClr val="bg1"/>
              </a:solidFill>
            </a:rPr>
            <a:t>FILTROS CON SEGMENTACION DE DATOS</a:t>
          </a:r>
        </a:p>
      </xdr:txBody>
    </xdr:sp>
    <xdr:clientData/>
  </xdr:oneCellAnchor>
  <xdr:twoCellAnchor editAs="oneCell">
    <xdr:from>
      <xdr:col>15</xdr:col>
      <xdr:colOff>428625</xdr:colOff>
      <xdr:row>0</xdr:row>
      <xdr:rowOff>133350</xdr:rowOff>
    </xdr:from>
    <xdr:to>
      <xdr:col>16</xdr:col>
      <xdr:colOff>217130</xdr:colOff>
      <xdr:row>3</xdr:row>
      <xdr:rowOff>76199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35CD7DE-4244-4366-9EF8-04746EFF6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2450" y="133350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161925</xdr:rowOff>
    </xdr:from>
    <xdr:to>
      <xdr:col>2</xdr:col>
      <xdr:colOff>64730</xdr:colOff>
      <xdr:row>3</xdr:row>
      <xdr:rowOff>104774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F0E5075-1E34-4421-8AB3-AE246C8A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61925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29</xdr:row>
      <xdr:rowOff>85726</xdr:rowOff>
    </xdr:from>
    <xdr:to>
      <xdr:col>16</xdr:col>
      <xdr:colOff>733425</xdr:colOff>
      <xdr:row>39</xdr:row>
      <xdr:rowOff>161926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UDAD">
              <a:extLst>
                <a:ext uri="{FF2B5EF4-FFF2-40B4-BE49-F238E27FC236}">
                  <a16:creationId xmlns:a16="http://schemas.microsoft.com/office/drawing/2014/main" id="{50B10098-8CBF-C134-F661-485942ABED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92075" y="5610226"/>
              <a:ext cx="1828800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133350</xdr:colOff>
      <xdr:row>28</xdr:row>
      <xdr:rowOff>180976</xdr:rowOff>
    </xdr:from>
    <xdr:to>
      <xdr:col>22</xdr:col>
      <xdr:colOff>438150</xdr:colOff>
      <xdr:row>38</xdr:row>
      <xdr:rowOff>9526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FESION">
              <a:extLst>
                <a:ext uri="{FF2B5EF4-FFF2-40B4-BE49-F238E27FC236}">
                  <a16:creationId xmlns:a16="http://schemas.microsoft.com/office/drawing/2014/main" id="{19244A15-71D6-2BDF-25CD-F2CE19AAC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07000" y="5514976"/>
              <a:ext cx="182880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142875</xdr:colOff>
      <xdr:row>29</xdr:row>
      <xdr:rowOff>161926</xdr:rowOff>
    </xdr:from>
    <xdr:to>
      <xdr:col>8</xdr:col>
      <xdr:colOff>447675</xdr:colOff>
      <xdr:row>34</xdr:row>
      <xdr:rowOff>161926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GENERO">
              <a:extLst>
                <a:ext uri="{FF2B5EF4-FFF2-40B4-BE49-F238E27FC236}">
                  <a16:creationId xmlns:a16="http://schemas.microsoft.com/office/drawing/2014/main" id="{E512942F-1DEB-0145-63DE-53B556656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8700" y="5686426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666749</xdr:colOff>
      <xdr:row>42</xdr:row>
      <xdr:rowOff>9524</xdr:rowOff>
    </xdr:from>
    <xdr:to>
      <xdr:col>19</xdr:col>
      <xdr:colOff>714374</xdr:colOff>
      <xdr:row>62</xdr:row>
      <xdr:rowOff>95249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5E42794-EF79-1267-7BAA-1207A1561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438150</xdr:colOff>
      <xdr:row>0</xdr:row>
      <xdr:rowOff>142874</xdr:rowOff>
    </xdr:from>
    <xdr:ext cx="2850845" cy="468013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0CDD144-1372-4CAD-A945-D6A7B14EDA26}"/>
            </a:ext>
          </a:extLst>
        </xdr:cNvPr>
        <xdr:cNvSpPr txBox="1"/>
      </xdr:nvSpPr>
      <xdr:spPr>
        <a:xfrm>
          <a:off x="5010150" y="142874"/>
          <a:ext cx="285084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>
              <a:solidFill>
                <a:schemeClr val="bg1"/>
              </a:solidFill>
            </a:rPr>
            <a:t>FILTROS AVANZADOS</a:t>
          </a:r>
        </a:p>
      </xdr:txBody>
    </xdr:sp>
    <xdr:clientData/>
  </xdr:oneCellAnchor>
  <xdr:twoCellAnchor editAs="oneCell">
    <xdr:from>
      <xdr:col>15</xdr:col>
      <xdr:colOff>180975</xdr:colOff>
      <xdr:row>0</xdr:row>
      <xdr:rowOff>152400</xdr:rowOff>
    </xdr:from>
    <xdr:to>
      <xdr:col>15</xdr:col>
      <xdr:colOff>731480</xdr:colOff>
      <xdr:row>3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905E1D-3166-4583-80BF-9111C9E2A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0975" y="152400"/>
          <a:ext cx="550505" cy="5143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0</xdr:row>
      <xdr:rowOff>180975</xdr:rowOff>
    </xdr:from>
    <xdr:to>
      <xdr:col>1</xdr:col>
      <xdr:colOff>455255</xdr:colOff>
      <xdr:row>3</xdr:row>
      <xdr:rowOff>123824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215A61-BAE7-4800-A881-84ED6A5DB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"/>
          <a:ext cx="550505" cy="5143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53.759061689816" createdVersion="8" refreshedVersion="8" minRefreshableVersion="3" recordCount="20" xr:uid="{0A2F0A1B-FE61-486A-9615-9056612C1888}">
  <cacheSource type="worksheet">
    <worksheetSource name="Tabla2"/>
  </cacheSource>
  <cacheFields count="6">
    <cacheField name="Nro" numFmtId="0">
      <sharedItems containsSemiMixedTypes="0" containsString="0" containsNumber="1" containsInteger="1" minValue="1" maxValue="20"/>
    </cacheField>
    <cacheField name="NOMBRE" numFmtId="0">
      <sharedItems/>
    </cacheField>
    <cacheField name="CIUDAD" numFmtId="0">
      <sharedItems count="6">
        <s v="ABANCAY"/>
        <s v="LIMA"/>
        <s v="CUSCO"/>
        <s v="AYACUCHO"/>
        <s v="TACNA"/>
        <s v="UCAYALI"/>
      </sharedItems>
    </cacheField>
    <cacheField name="PROFESION" numFmtId="49">
      <sharedItems count="5">
        <s v="ABOGADO"/>
        <s v="CHOFER"/>
        <s v="MEDICO"/>
        <s v="ENFERMERA"/>
        <s v="ENFERMERIA"/>
      </sharedItems>
    </cacheField>
    <cacheField name="MONTO" numFmtId="164">
      <sharedItems containsSemiMixedTypes="0" containsString="0" containsNumber="1" containsInteger="1" minValue="400" maxValue="5000"/>
    </cacheField>
    <cacheField name="EDAD" numFmtId="0">
      <sharedItems containsSemiMixedTypes="0" containsString="0" containsNumber="1" containsInteger="1" minValue="12" maxValue="75" count="15">
        <n v="75"/>
        <n v="40"/>
        <n v="31"/>
        <n v="37"/>
        <n v="21"/>
        <n v="47"/>
        <n v="23"/>
        <n v="45"/>
        <n v="12"/>
        <n v="30"/>
        <n v="32"/>
        <n v="29"/>
        <n v="46"/>
        <n v="35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53.773952083335" createdVersion="8" refreshedVersion="8" minRefreshableVersion="3" recordCount="57" xr:uid="{3AC32E5C-8E2B-4F32-8A65-EE6382599C97}">
  <cacheSource type="worksheet">
    <worksheetSource name="Tabla4"/>
  </cacheSource>
  <cacheFields count="6">
    <cacheField name="Producto" numFmtId="0">
      <sharedItems count="5">
        <s v="Arroz"/>
        <s v="Harina"/>
        <s v="Queso"/>
        <s v="Leche"/>
        <s v="Mantequilla"/>
      </sharedItems>
    </cacheField>
    <cacheField name="Cantidad" numFmtId="0">
      <sharedItems containsSemiMixedTypes="0" containsString="0" containsNumber="1" containsInteger="1" minValue="5" maxValue="20"/>
    </cacheField>
    <cacheField name="Precio" numFmtId="0">
      <sharedItems containsSemiMixedTypes="0" containsString="0" containsNumber="1" containsInteger="1" minValue="10" maxValue="45"/>
    </cacheField>
    <cacheField name="Monto" numFmtId="165">
      <sharedItems containsSemiMixedTypes="0" containsString="0" containsNumber="1" containsInteger="1" minValue="60" maxValue="765"/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Vendedor" numFmtId="0">
      <sharedItems count="4">
        <s v="Antonio"/>
        <s v="Sofia"/>
        <s v="Judith"/>
        <s v="Jhonat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53.780770717596" createdVersion="8" refreshedVersion="8" minRefreshableVersion="3" recordCount="20" xr:uid="{F690408D-FD30-46FC-BE90-AF9982B47FCA}">
  <cacheSource type="worksheet">
    <worksheetSource name="Tabla5"/>
  </cacheSource>
  <cacheFields count="7">
    <cacheField name="Nro" numFmtId="0">
      <sharedItems containsSemiMixedTypes="0" containsString="0" containsNumber="1" containsInteger="1" minValue="1" maxValue="20"/>
    </cacheField>
    <cacheField name="NOMBRE" numFmtId="0">
      <sharedItems/>
    </cacheField>
    <cacheField name="CIUDAD" numFmtId="0">
      <sharedItems count="6">
        <s v="ABANCAY"/>
        <s v="LIMA"/>
        <s v="CUSCO"/>
        <s v="AYACUCHO"/>
        <s v="TACNA"/>
        <s v="UCAYALI"/>
      </sharedItems>
    </cacheField>
    <cacheField name="GENERO" numFmtId="0">
      <sharedItems count="2">
        <s v="F"/>
        <s v="M"/>
      </sharedItems>
    </cacheField>
    <cacheField name="PROFESION" numFmtId="49">
      <sharedItems count="5">
        <s v="ABOGADO"/>
        <s v="CHOFER"/>
        <s v="MEDICO"/>
        <s v="ENFERMERA"/>
        <s v="ENFERMERIA"/>
      </sharedItems>
    </cacheField>
    <cacheField name="MONTO" numFmtId="2">
      <sharedItems containsSemiMixedTypes="0" containsString="0" containsNumber="1" containsInteger="1" minValue="400" maxValue="5000"/>
    </cacheField>
    <cacheField name="EDAD" numFmtId="0">
      <sharedItems containsSemiMixedTypes="0" containsString="0" containsNumber="1" containsInteger="1" minValue="12" maxValue="47"/>
    </cacheField>
  </cacheFields>
  <extLst>
    <ext xmlns:x14="http://schemas.microsoft.com/office/spreadsheetml/2009/9/main" uri="{725AE2AE-9491-48be-B2B4-4EB974FC3084}">
      <x14:pivotCacheDefinition pivotCacheId="1875281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SANDRA"/>
    <x v="0"/>
    <x v="0"/>
    <n v="1000"/>
    <x v="0"/>
  </r>
  <r>
    <n v="2"/>
    <s v="CARMEN"/>
    <x v="1"/>
    <x v="1"/>
    <n v="1500"/>
    <x v="1"/>
  </r>
  <r>
    <n v="3"/>
    <s v="LEO"/>
    <x v="2"/>
    <x v="2"/>
    <n v="2000"/>
    <x v="2"/>
  </r>
  <r>
    <n v="4"/>
    <s v="CARLOS"/>
    <x v="0"/>
    <x v="3"/>
    <n v="800"/>
    <x v="3"/>
  </r>
  <r>
    <n v="5"/>
    <s v="KARINA"/>
    <x v="3"/>
    <x v="0"/>
    <n v="600"/>
    <x v="4"/>
  </r>
  <r>
    <n v="6"/>
    <s v="LUIS"/>
    <x v="1"/>
    <x v="2"/>
    <n v="700"/>
    <x v="5"/>
  </r>
  <r>
    <n v="7"/>
    <s v="FREDDY"/>
    <x v="2"/>
    <x v="2"/>
    <n v="2000"/>
    <x v="6"/>
  </r>
  <r>
    <n v="8"/>
    <s v="JUAN"/>
    <x v="0"/>
    <x v="1"/>
    <n v="2500"/>
    <x v="7"/>
  </r>
  <r>
    <n v="9"/>
    <s v="MARIA"/>
    <x v="1"/>
    <x v="4"/>
    <n v="400"/>
    <x v="8"/>
  </r>
  <r>
    <n v="10"/>
    <s v="NOELIA"/>
    <x v="3"/>
    <x v="4"/>
    <n v="1800"/>
    <x v="6"/>
  </r>
  <r>
    <n v="11"/>
    <s v="MARCO"/>
    <x v="1"/>
    <x v="0"/>
    <n v="3000"/>
    <x v="3"/>
  </r>
  <r>
    <n v="12"/>
    <s v="JULIA"/>
    <x v="4"/>
    <x v="1"/>
    <n v="1500"/>
    <x v="9"/>
  </r>
  <r>
    <n v="13"/>
    <s v="JOSE"/>
    <x v="5"/>
    <x v="2"/>
    <n v="1900"/>
    <x v="10"/>
  </r>
  <r>
    <n v="14"/>
    <s v="LUIS"/>
    <x v="2"/>
    <x v="4"/>
    <n v="800"/>
    <x v="6"/>
  </r>
  <r>
    <n v="15"/>
    <s v="JORGE"/>
    <x v="3"/>
    <x v="0"/>
    <n v="600"/>
    <x v="11"/>
  </r>
  <r>
    <n v="16"/>
    <s v="SOFIA"/>
    <x v="0"/>
    <x v="1"/>
    <n v="700"/>
    <x v="12"/>
  </r>
  <r>
    <n v="17"/>
    <s v="CLAUDIA"/>
    <x v="1"/>
    <x v="4"/>
    <n v="5000"/>
    <x v="13"/>
  </r>
  <r>
    <n v="18"/>
    <s v="FERNANDA"/>
    <x v="5"/>
    <x v="1"/>
    <n v="2500"/>
    <x v="4"/>
  </r>
  <r>
    <n v="19"/>
    <s v="OCTAVIO"/>
    <x v="4"/>
    <x v="0"/>
    <n v="400"/>
    <x v="14"/>
  </r>
  <r>
    <n v="20"/>
    <s v="ISABEL"/>
    <x v="0"/>
    <x v="4"/>
    <n v="1800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n v="8"/>
    <n v="21"/>
    <n v="168"/>
    <x v="0"/>
    <x v="0"/>
  </r>
  <r>
    <x v="1"/>
    <n v="14"/>
    <n v="19"/>
    <n v="266"/>
    <x v="1"/>
    <x v="1"/>
  </r>
  <r>
    <x v="2"/>
    <n v="13"/>
    <n v="43"/>
    <n v="559"/>
    <x v="2"/>
    <x v="2"/>
  </r>
  <r>
    <x v="3"/>
    <n v="8"/>
    <n v="13"/>
    <n v="104"/>
    <x v="3"/>
    <x v="3"/>
  </r>
  <r>
    <x v="4"/>
    <n v="16"/>
    <n v="42"/>
    <n v="672"/>
    <x v="4"/>
    <x v="0"/>
  </r>
  <r>
    <x v="0"/>
    <n v="6"/>
    <n v="10"/>
    <n v="60"/>
    <x v="5"/>
    <x v="1"/>
  </r>
  <r>
    <x v="2"/>
    <n v="19"/>
    <n v="37"/>
    <n v="703"/>
    <x v="6"/>
    <x v="2"/>
  </r>
  <r>
    <x v="1"/>
    <n v="5"/>
    <n v="26"/>
    <n v="130"/>
    <x v="7"/>
    <x v="3"/>
  </r>
  <r>
    <x v="1"/>
    <n v="7"/>
    <n v="11"/>
    <n v="77"/>
    <x v="8"/>
    <x v="0"/>
  </r>
  <r>
    <x v="0"/>
    <n v="20"/>
    <n v="10"/>
    <n v="200"/>
    <x v="9"/>
    <x v="1"/>
  </r>
  <r>
    <x v="3"/>
    <n v="9"/>
    <n v="42"/>
    <n v="378"/>
    <x v="10"/>
    <x v="2"/>
  </r>
  <r>
    <x v="2"/>
    <n v="7"/>
    <n v="27"/>
    <n v="189"/>
    <x v="11"/>
    <x v="3"/>
  </r>
  <r>
    <x v="0"/>
    <n v="9"/>
    <n v="42"/>
    <n v="378"/>
    <x v="0"/>
    <x v="0"/>
  </r>
  <r>
    <x v="1"/>
    <n v="17"/>
    <n v="16"/>
    <n v="272"/>
    <x v="1"/>
    <x v="1"/>
  </r>
  <r>
    <x v="0"/>
    <n v="17"/>
    <n v="29"/>
    <n v="493"/>
    <x v="2"/>
    <x v="2"/>
  </r>
  <r>
    <x v="3"/>
    <n v="5"/>
    <n v="20"/>
    <n v="100"/>
    <x v="3"/>
    <x v="3"/>
  </r>
  <r>
    <x v="0"/>
    <n v="14"/>
    <n v="36"/>
    <n v="504"/>
    <x v="4"/>
    <x v="0"/>
  </r>
  <r>
    <x v="1"/>
    <n v="5"/>
    <n v="35"/>
    <n v="175"/>
    <x v="5"/>
    <x v="1"/>
  </r>
  <r>
    <x v="2"/>
    <n v="6"/>
    <n v="16"/>
    <n v="96"/>
    <x v="6"/>
    <x v="2"/>
  </r>
  <r>
    <x v="0"/>
    <n v="10"/>
    <n v="43"/>
    <n v="430"/>
    <x v="7"/>
    <x v="3"/>
  </r>
  <r>
    <x v="0"/>
    <n v="14"/>
    <n v="45"/>
    <n v="630"/>
    <x v="8"/>
    <x v="0"/>
  </r>
  <r>
    <x v="2"/>
    <n v="11"/>
    <n v="31"/>
    <n v="341"/>
    <x v="9"/>
    <x v="1"/>
  </r>
  <r>
    <x v="4"/>
    <n v="11"/>
    <n v="20"/>
    <n v="220"/>
    <x v="10"/>
    <x v="2"/>
  </r>
  <r>
    <x v="0"/>
    <n v="18"/>
    <n v="35"/>
    <n v="630"/>
    <x v="11"/>
    <x v="3"/>
  </r>
  <r>
    <x v="4"/>
    <n v="20"/>
    <n v="30"/>
    <n v="600"/>
    <x v="0"/>
    <x v="0"/>
  </r>
  <r>
    <x v="3"/>
    <n v="13"/>
    <n v="27"/>
    <n v="351"/>
    <x v="1"/>
    <x v="1"/>
  </r>
  <r>
    <x v="0"/>
    <n v="5"/>
    <n v="39"/>
    <n v="195"/>
    <x v="2"/>
    <x v="2"/>
  </r>
  <r>
    <x v="1"/>
    <n v="13"/>
    <n v="32"/>
    <n v="416"/>
    <x v="3"/>
    <x v="3"/>
  </r>
  <r>
    <x v="0"/>
    <n v="16"/>
    <n v="39"/>
    <n v="624"/>
    <x v="4"/>
    <x v="0"/>
  </r>
  <r>
    <x v="1"/>
    <n v="9"/>
    <n v="37"/>
    <n v="333"/>
    <x v="5"/>
    <x v="1"/>
  </r>
  <r>
    <x v="0"/>
    <n v="11"/>
    <n v="29"/>
    <n v="319"/>
    <x v="6"/>
    <x v="2"/>
  </r>
  <r>
    <x v="1"/>
    <n v="5"/>
    <n v="41"/>
    <n v="205"/>
    <x v="7"/>
    <x v="3"/>
  </r>
  <r>
    <x v="1"/>
    <n v="17"/>
    <n v="29"/>
    <n v="493"/>
    <x v="8"/>
    <x v="0"/>
  </r>
  <r>
    <x v="2"/>
    <n v="9"/>
    <n v="41"/>
    <n v="369"/>
    <x v="9"/>
    <x v="1"/>
  </r>
  <r>
    <x v="0"/>
    <n v="10"/>
    <n v="25"/>
    <n v="250"/>
    <x v="10"/>
    <x v="2"/>
  </r>
  <r>
    <x v="2"/>
    <n v="7"/>
    <n v="27"/>
    <n v="189"/>
    <x v="11"/>
    <x v="3"/>
  </r>
  <r>
    <x v="3"/>
    <n v="20"/>
    <n v="17"/>
    <n v="340"/>
    <x v="0"/>
    <x v="0"/>
  </r>
  <r>
    <x v="0"/>
    <n v="13"/>
    <n v="14"/>
    <n v="182"/>
    <x v="1"/>
    <x v="1"/>
  </r>
  <r>
    <x v="4"/>
    <n v="8"/>
    <n v="44"/>
    <n v="352"/>
    <x v="2"/>
    <x v="2"/>
  </r>
  <r>
    <x v="4"/>
    <n v="17"/>
    <n v="23"/>
    <n v="391"/>
    <x v="3"/>
    <x v="3"/>
  </r>
  <r>
    <x v="0"/>
    <n v="20"/>
    <n v="30"/>
    <n v="600"/>
    <x v="4"/>
    <x v="0"/>
  </r>
  <r>
    <x v="4"/>
    <n v="11"/>
    <n v="19"/>
    <n v="209"/>
    <x v="5"/>
    <x v="1"/>
  </r>
  <r>
    <x v="0"/>
    <n v="17"/>
    <n v="36"/>
    <n v="612"/>
    <x v="6"/>
    <x v="2"/>
  </r>
  <r>
    <x v="2"/>
    <n v="16"/>
    <n v="24"/>
    <n v="384"/>
    <x v="7"/>
    <x v="3"/>
  </r>
  <r>
    <x v="4"/>
    <n v="17"/>
    <n v="45"/>
    <n v="765"/>
    <x v="8"/>
    <x v="0"/>
  </r>
  <r>
    <x v="2"/>
    <n v="5"/>
    <n v="16"/>
    <n v="80"/>
    <x v="9"/>
    <x v="1"/>
  </r>
  <r>
    <x v="0"/>
    <n v="16"/>
    <n v="39"/>
    <n v="624"/>
    <x v="10"/>
    <x v="2"/>
  </r>
  <r>
    <x v="0"/>
    <n v="18"/>
    <n v="13"/>
    <n v="234"/>
    <x v="11"/>
    <x v="3"/>
  </r>
  <r>
    <x v="1"/>
    <n v="17"/>
    <n v="22"/>
    <n v="374"/>
    <x v="0"/>
    <x v="0"/>
  </r>
  <r>
    <x v="1"/>
    <n v="14"/>
    <n v="32"/>
    <n v="448"/>
    <x v="1"/>
    <x v="1"/>
  </r>
  <r>
    <x v="0"/>
    <n v="9"/>
    <n v="10"/>
    <n v="90"/>
    <x v="2"/>
    <x v="2"/>
  </r>
  <r>
    <x v="2"/>
    <n v="20"/>
    <n v="32"/>
    <n v="640"/>
    <x v="3"/>
    <x v="3"/>
  </r>
  <r>
    <x v="0"/>
    <n v="12"/>
    <n v="13"/>
    <n v="156"/>
    <x v="4"/>
    <x v="0"/>
  </r>
  <r>
    <x v="4"/>
    <n v="16"/>
    <n v="20"/>
    <n v="320"/>
    <x v="5"/>
    <x v="1"/>
  </r>
  <r>
    <x v="3"/>
    <n v="8"/>
    <n v="41"/>
    <n v="328"/>
    <x v="6"/>
    <x v="2"/>
  </r>
  <r>
    <x v="4"/>
    <n v="6"/>
    <n v="32"/>
    <n v="192"/>
    <x v="7"/>
    <x v="3"/>
  </r>
  <r>
    <x v="0"/>
    <n v="10"/>
    <n v="29"/>
    <n v="290"/>
    <x v="8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SANDRA"/>
    <x v="0"/>
    <x v="0"/>
    <x v="0"/>
    <n v="1000"/>
    <n v="25"/>
  </r>
  <r>
    <n v="2"/>
    <s v="CARMEN"/>
    <x v="1"/>
    <x v="0"/>
    <x v="1"/>
    <n v="1500"/>
    <n v="40"/>
  </r>
  <r>
    <n v="3"/>
    <s v="LEO"/>
    <x v="2"/>
    <x v="1"/>
    <x v="2"/>
    <n v="2000"/>
    <n v="31"/>
  </r>
  <r>
    <n v="4"/>
    <s v="CARLOS"/>
    <x v="0"/>
    <x v="1"/>
    <x v="3"/>
    <n v="800"/>
    <n v="37"/>
  </r>
  <r>
    <n v="5"/>
    <s v="KARINA"/>
    <x v="3"/>
    <x v="0"/>
    <x v="0"/>
    <n v="600"/>
    <n v="21"/>
  </r>
  <r>
    <n v="6"/>
    <s v="LUIS"/>
    <x v="1"/>
    <x v="1"/>
    <x v="2"/>
    <n v="700"/>
    <n v="47"/>
  </r>
  <r>
    <n v="7"/>
    <s v="FREDDY"/>
    <x v="2"/>
    <x v="1"/>
    <x v="2"/>
    <n v="2000"/>
    <n v="23"/>
  </r>
  <r>
    <n v="8"/>
    <s v="JUAN"/>
    <x v="0"/>
    <x v="1"/>
    <x v="1"/>
    <n v="2500"/>
    <n v="45"/>
  </r>
  <r>
    <n v="9"/>
    <s v="MARIA"/>
    <x v="1"/>
    <x v="0"/>
    <x v="4"/>
    <n v="400"/>
    <n v="12"/>
  </r>
  <r>
    <n v="10"/>
    <s v="NOELIA"/>
    <x v="3"/>
    <x v="0"/>
    <x v="4"/>
    <n v="1800"/>
    <n v="23"/>
  </r>
  <r>
    <n v="11"/>
    <s v="MARCO"/>
    <x v="1"/>
    <x v="1"/>
    <x v="0"/>
    <n v="3000"/>
    <n v="37"/>
  </r>
  <r>
    <n v="12"/>
    <s v="JULIA"/>
    <x v="4"/>
    <x v="0"/>
    <x v="1"/>
    <n v="1500"/>
    <n v="30"/>
  </r>
  <r>
    <n v="13"/>
    <s v="JOSE"/>
    <x v="5"/>
    <x v="1"/>
    <x v="2"/>
    <n v="1900"/>
    <n v="32"/>
  </r>
  <r>
    <n v="14"/>
    <s v="LUIS"/>
    <x v="2"/>
    <x v="1"/>
    <x v="4"/>
    <n v="800"/>
    <n v="23"/>
  </r>
  <r>
    <n v="15"/>
    <s v="JORGE"/>
    <x v="3"/>
    <x v="1"/>
    <x v="0"/>
    <n v="600"/>
    <n v="29"/>
  </r>
  <r>
    <n v="16"/>
    <s v="SOFIA"/>
    <x v="0"/>
    <x v="0"/>
    <x v="1"/>
    <n v="700"/>
    <n v="46"/>
  </r>
  <r>
    <n v="17"/>
    <s v="CLAUDIA"/>
    <x v="1"/>
    <x v="0"/>
    <x v="4"/>
    <n v="5000"/>
    <n v="35"/>
  </r>
  <r>
    <n v="18"/>
    <s v="FERNANDA"/>
    <x v="5"/>
    <x v="0"/>
    <x v="1"/>
    <n v="2500"/>
    <n v="21"/>
  </r>
  <r>
    <n v="19"/>
    <s v="OCTAVIO"/>
    <x v="4"/>
    <x v="1"/>
    <x v="0"/>
    <n v="400"/>
    <n v="22"/>
  </r>
  <r>
    <n v="20"/>
    <s v="ISABEL"/>
    <x v="0"/>
    <x v="0"/>
    <x v="4"/>
    <n v="180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9F74E-A690-427C-A4A3-553A6D7E5BC2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2:I54" firstHeaderRow="1" firstDataRow="1" firstDataCol="1"/>
  <pivotFields count="6">
    <pivotField dataField="1" showAll="0"/>
    <pivotField showAll="0"/>
    <pivotField axis="axisRow" showAll="0">
      <items count="7">
        <item x="0"/>
        <item x="3"/>
        <item x="2"/>
        <item x="1"/>
        <item x="4"/>
        <item x="5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numFmtId="164" showAll="0"/>
    <pivotField showAll="0"/>
  </pivotFields>
  <rowFields count="2">
    <field x="3"/>
    <field x="2"/>
  </rowFields>
  <rowItems count="22">
    <i>
      <x/>
    </i>
    <i r="1">
      <x/>
    </i>
    <i r="1">
      <x v="1"/>
    </i>
    <i r="1">
      <x v="3"/>
    </i>
    <i r="1">
      <x v="4"/>
    </i>
    <i>
      <x v="1"/>
    </i>
    <i r="1">
      <x/>
    </i>
    <i r="1">
      <x v="3"/>
    </i>
    <i r="1">
      <x v="4"/>
    </i>
    <i r="1">
      <x v="5"/>
    </i>
    <i>
      <x v="2"/>
    </i>
    <i r="1">
      <x/>
    </i>
    <i>
      <x v="3"/>
    </i>
    <i r="1">
      <x/>
    </i>
    <i r="1">
      <x v="1"/>
    </i>
    <i r="1">
      <x v="2"/>
    </i>
    <i r="1">
      <x v="3"/>
    </i>
    <i>
      <x v="4"/>
    </i>
    <i r="1">
      <x v="2"/>
    </i>
    <i r="1">
      <x v="3"/>
    </i>
    <i r="1">
      <x v="5"/>
    </i>
    <i t="grand">
      <x/>
    </i>
  </rowItems>
  <colItems count="1">
    <i/>
  </colItems>
  <dataFields count="1">
    <dataField name="Cuenta de Nro" fld="0" subtotal="count" baseField="3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03F04-B27B-4CB9-BA41-F9BEC393997F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32:F39" firstHeaderRow="1" firstDataRow="1" firstDataCol="1"/>
  <pivotFields count="6">
    <pivotField showAll="0"/>
    <pivotField showAll="0"/>
    <pivotField axis="axisRow" showAll="0">
      <items count="7">
        <item x="0"/>
        <item x="3"/>
        <item x="2"/>
        <item x="1"/>
        <item x="4"/>
        <item x="5"/>
        <item t="default"/>
      </items>
    </pivotField>
    <pivotField showAll="0"/>
    <pivotField numFmtId="164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EDA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CAF8D-2FBE-46A3-8252-7687BF4E91D1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FESIÓN">
  <location ref="B32:C38" firstHeaderRow="1" firstDataRow="1" firstDataCol="1"/>
  <pivotFields count="6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dataField="1" numFmtId="16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4" baseField="3" baseItem="0" numFmtId="165"/>
  </dataFields>
  <formats count="2">
    <format dxfId="34">
      <pivotArea outline="0" collapsedLevelsAreSubtotals="1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24A73-F69E-4371-AC1C-27101D962D39}" name="TablaDinámica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5:L41" firstHeaderRow="1" firstDataRow="1" firstDataCol="1" rowPageCount="1" colPageCount="1"/>
  <pivotFields count="6">
    <pivotField showAll="0"/>
    <pivotField dataField="1"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numFmtId="164" showAll="0"/>
    <pivotField axis="axisPage" multipleItemSelectionAllowed="1" showAll="0">
      <items count="16">
        <item h="1" x="8"/>
        <item h="1" x="4"/>
        <item h="1" x="14"/>
        <item h="1" x="6"/>
        <item h="1" x="11"/>
        <item x="9"/>
        <item x="2"/>
        <item x="10"/>
        <item x="13"/>
        <item x="3"/>
        <item x="1"/>
        <item x="7"/>
        <item x="12"/>
        <item x="5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Cuenta de NOMBRE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DE723-DF14-47AC-A3A4-9FE3DE59F79E}" name="TablaDiná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FESIÓN">
  <location ref="K20:L26" firstHeaderRow="1" firstDataRow="1" firstDataCol="1"/>
  <pivotFields count="6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dataField="1" numFmtId="16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MONTO" fld="4" subtotal="average" baseField="3" baseItem="0" numFmtId="165"/>
  </dataFields>
  <formats count="2">
    <format dxfId="30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B1A98-68BF-4853-A08B-955967F71695}" name="TablaDiná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ROFESIÓN">
  <location ref="K8:L11" firstHeaderRow="1" firstDataRow="1" firstDataCol="1" rowPageCount="1" colPageCount="1"/>
  <pivotFields count="6">
    <pivotField showAll="0"/>
    <pivotField showAll="0"/>
    <pivotField axis="axisPage" showAll="0">
      <items count="7">
        <item x="0"/>
        <item x="3"/>
        <item x="2"/>
        <item x="1"/>
        <item x="4"/>
        <item x="5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dataField="1" numFmtId="164" showAll="0"/>
    <pivotField showAll="0"/>
  </pivotFields>
  <rowFields count="1">
    <field x="3"/>
  </rowFields>
  <rowItems count="3">
    <i>
      <x v="1"/>
    </i>
    <i>
      <x v="4"/>
    </i>
    <i t="grand">
      <x/>
    </i>
  </rowItems>
  <colItems count="1">
    <i/>
  </colItems>
  <pageFields count="1">
    <pageField fld="2" item="5" hier="-1"/>
  </pageFields>
  <dataFields count="1">
    <dataField name="TOTAL" fld="4" baseField="3" baseItem="0" numFmtId="165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6A6C5-116E-4F59-BB02-ED40E84BC22C}" name="TablaDinámica9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N60:O85" firstHeaderRow="1" firstDataRow="1" firstDataCol="1"/>
  <pivotFields count="6">
    <pivotField showAll="0" defaultSubtotal="0"/>
    <pivotField dataField="1" showAll="0" defaultSubtotal="0"/>
    <pivotField showAll="0" defaultSubtotal="0"/>
    <pivotField numFmtId="165" showAll="0" defaultSubtotal="0"/>
    <pivotField axis="axisRow" showAll="0" sortType="ascending" defaultSubtotal="0">
      <items count="12">
        <item x="0"/>
        <item x="1"/>
        <item x="2"/>
        <item x="3"/>
        <item x="4"/>
        <item x="5"/>
        <item x="6"/>
        <item x="7"/>
        <item x="9"/>
        <item x="10"/>
        <item x="11"/>
        <item x="8"/>
      </items>
    </pivotField>
    <pivotField axis="axisRow" showAll="0" defaultSubtotal="0">
      <items count="4">
        <item x="0"/>
        <item x="3"/>
        <item x="2"/>
        <item x="1"/>
      </items>
    </pivotField>
  </pivotFields>
  <rowFields count="2">
    <field x="4"/>
    <field x="5"/>
  </rowFields>
  <rowItems count="25">
    <i>
      <x/>
    </i>
    <i r="1">
      <x/>
    </i>
    <i>
      <x v="1"/>
    </i>
    <i r="1">
      <x v="3"/>
    </i>
    <i>
      <x v="2"/>
    </i>
    <i r="1">
      <x v="2"/>
    </i>
    <i>
      <x v="3"/>
    </i>
    <i r="1">
      <x v="1"/>
    </i>
    <i>
      <x v="4"/>
    </i>
    <i r="1">
      <x/>
    </i>
    <i>
      <x v="5"/>
    </i>
    <i r="1">
      <x v="3"/>
    </i>
    <i>
      <x v="6"/>
    </i>
    <i r="1">
      <x v="2"/>
    </i>
    <i>
      <x v="7"/>
    </i>
    <i r="1">
      <x v="1"/>
    </i>
    <i>
      <x v="8"/>
    </i>
    <i r="1">
      <x v="3"/>
    </i>
    <i>
      <x v="9"/>
    </i>
    <i r="1">
      <x v="2"/>
    </i>
    <i>
      <x v="10"/>
    </i>
    <i r="1">
      <x v="1"/>
    </i>
    <i>
      <x v="11"/>
    </i>
    <i r="1">
      <x/>
    </i>
    <i t="grand">
      <x/>
    </i>
  </rowItems>
  <colItems count="1">
    <i/>
  </colItems>
  <dataFields count="1">
    <dataField name="Suma de Cantida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F634D-C9C3-4A34-AF12-EFA08379A635}" name="TablaDinámica8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30:AB54" firstHeaderRow="1" firstDataRow="2" firstDataCol="2"/>
  <pivotFields count="6">
    <pivotField axis="axisRow" compact="0" outline="0" showAll="0">
      <items count="6">
        <item x="0"/>
        <item x="1"/>
        <item x="3"/>
        <item x="4"/>
        <item x="2"/>
        <item t="default"/>
      </items>
    </pivotField>
    <pivotField dataField="1" compact="0" outline="0" showAll="0"/>
    <pivotField compact="0" outline="0" showAll="0"/>
    <pivotField compact="0" numFmtId="165" outline="0" showAll="0"/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axis="axisRow" compact="0" outline="0" showAll="0">
      <items count="5">
        <item x="0"/>
        <item x="3"/>
        <item x="2"/>
        <item x="1"/>
        <item t="default"/>
      </items>
    </pivotField>
  </pivotFields>
  <rowFields count="2">
    <field x="5"/>
    <field x="0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Cantid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09BD1-C789-441A-BA52-D12D33E4F373}" name="TablaDiná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0:K91" firstHeaderRow="1" firstDataRow="1" firstDataCol="1"/>
  <pivotFields count="6">
    <pivotField axis="axisRow" subtotalTop="0" showAll="0">
      <items count="6">
        <item x="0"/>
        <item x="1"/>
        <item x="3"/>
        <item x="4"/>
        <item x="2"/>
        <item t="default"/>
      </items>
    </pivotField>
    <pivotField subtotalTop="0" showAll="0"/>
    <pivotField subtotalTop="0" showAll="0"/>
    <pivotField dataField="1" numFmtId="165" subtotalTop="0" showAll="0"/>
    <pivotField axis="axisRow" subtotalTop="0"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subtotalTop="0" showAll="0"/>
  </pivotFields>
  <rowFields count="2">
    <field x="4"/>
    <field x="0"/>
  </rowFields>
  <rowItems count="61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3"/>
    </i>
    <i r="1">
      <x v="4"/>
    </i>
    <i t="default">
      <x v="2"/>
    </i>
    <i>
      <x v="3"/>
    </i>
    <i r="1">
      <x v="1"/>
    </i>
    <i r="1">
      <x v="2"/>
    </i>
    <i r="1">
      <x v="3"/>
    </i>
    <i r="1">
      <x v="4"/>
    </i>
    <i t="default">
      <x v="3"/>
    </i>
    <i>
      <x v="4"/>
    </i>
    <i r="1">
      <x/>
    </i>
    <i r="1">
      <x v="3"/>
    </i>
    <i t="default">
      <x v="4"/>
    </i>
    <i>
      <x v="5"/>
    </i>
    <i r="1">
      <x/>
    </i>
    <i r="1">
      <x v="1"/>
    </i>
    <i r="1">
      <x v="3"/>
    </i>
    <i t="default">
      <x v="5"/>
    </i>
    <i>
      <x v="6"/>
    </i>
    <i r="1">
      <x/>
    </i>
    <i r="1">
      <x v="2"/>
    </i>
    <i r="1">
      <x v="4"/>
    </i>
    <i t="default">
      <x v="6"/>
    </i>
    <i>
      <x v="7"/>
    </i>
    <i r="1">
      <x/>
    </i>
    <i r="1">
      <x v="1"/>
    </i>
    <i r="1">
      <x v="3"/>
    </i>
    <i r="1">
      <x v="4"/>
    </i>
    <i t="default">
      <x v="7"/>
    </i>
    <i>
      <x v="8"/>
    </i>
    <i r="1">
      <x/>
    </i>
    <i r="1">
      <x v="4"/>
    </i>
    <i t="default">
      <x v="8"/>
    </i>
    <i>
      <x v="9"/>
    </i>
    <i r="1">
      <x/>
    </i>
    <i r="1">
      <x v="2"/>
    </i>
    <i r="1">
      <x v="3"/>
    </i>
    <i t="default">
      <x v="9"/>
    </i>
    <i>
      <x v="10"/>
    </i>
    <i r="1">
      <x/>
    </i>
    <i r="1">
      <x v="4"/>
    </i>
    <i t="default">
      <x v="10"/>
    </i>
    <i>
      <x v="11"/>
    </i>
    <i r="1">
      <x/>
    </i>
    <i r="1">
      <x v="1"/>
    </i>
    <i r="1">
      <x v="3"/>
    </i>
    <i t="default">
      <x v="11"/>
    </i>
    <i t="grand">
      <x/>
    </i>
  </rowItems>
  <colItems count="1">
    <i/>
  </colItems>
  <dataFields count="1">
    <dataField name="Suma de Monto" fld="3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6E544-EFD9-46D5-AA0C-DB1FBAEC30B4}" name="TablaDinámica1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31:T37" firstHeaderRow="1" firstDataRow="1" firstDataCol="1"/>
  <pivotFields count="7">
    <pivotField showAll="0"/>
    <pivotField showAll="0"/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numFmtId="2"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EDAD" fld="6" subtotal="average" baseField="4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9F700-4FF2-4585-BB0F-DF575C9252F5}" name="TablaDinámica1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M31:N38" firstHeaderRow="1" firstDataRow="1" firstDataCol="1"/>
  <pivotFields count="7">
    <pivotField showAll="0"/>
    <pivotField showAll="0"/>
    <pivotField axis="axisRow"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dataField="1" numFmtId="2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MONTO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CE254-7659-49AA-9439-9E9D4C8EABAE}" name="TablaDinámica10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1:K45" firstHeaderRow="1" firstDataRow="1" firstDataCol="1"/>
  <pivotFields count="7">
    <pivotField showAll="0" defaultSubtotal="0"/>
    <pivotField showAll="0" defaultSubtotal="0"/>
    <pivotField showAll="0" defaultSubtotal="0">
      <items count="6">
        <item x="0"/>
        <item x="3"/>
        <item x="2"/>
        <item x="1"/>
        <item x="4"/>
        <item x="5"/>
      </items>
    </pivotField>
    <pivotField axis="axisRow" showAll="0" defaultSubtotal="0">
      <items count="2">
        <item x="0"/>
        <item x="1"/>
      </items>
    </pivotField>
    <pivotField axis="axisRow" showAll="0" defaultSubtotal="0">
      <items count="5">
        <item x="0"/>
        <item x="1"/>
        <item x="3"/>
        <item x="4"/>
        <item x="2"/>
      </items>
    </pivotField>
    <pivotField numFmtId="2" showAll="0" defaultSubtotal="0"/>
    <pivotField dataField="1" showAll="0" defaultSubtotal="0"/>
  </pivotFields>
  <rowFields count="2">
    <field x="4"/>
    <field x="3"/>
  </rowFields>
  <rowItems count="14">
    <i>
      <x/>
    </i>
    <i r="1">
      <x/>
    </i>
    <i r="1">
      <x v="1"/>
    </i>
    <i>
      <x v="1"/>
    </i>
    <i r="1">
      <x/>
    </i>
    <i r="1">
      <x v="1"/>
    </i>
    <i>
      <x v="2"/>
    </i>
    <i r="1">
      <x v="1"/>
    </i>
    <i>
      <x v="3"/>
    </i>
    <i r="1">
      <x/>
    </i>
    <i r="1">
      <x v="1"/>
    </i>
    <i>
      <x v="4"/>
    </i>
    <i r="1">
      <x v="1"/>
    </i>
    <i t="grand">
      <x/>
    </i>
  </rowItems>
  <colItems count="1">
    <i/>
  </colItems>
  <dataFields count="1">
    <dataField name="Promedio de EDAD" fld="6" subtotal="average" baseField="4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54CCEF30-B0A3-4572-BC64-B51B6F2AA95B}" sourceName="CIUDAD">
  <pivotTables>
    <pivotTable tabId="6" name="TablaDinámica11"/>
    <pivotTable tabId="6" name="TablaDinámica10"/>
    <pivotTable tabId="6" name="TablaDinámica12"/>
  </pivotTables>
  <data>
    <tabular pivotCacheId="1875281491">
      <items count="6">
        <i x="0" s="1"/>
        <i x="3" s="1"/>
        <i x="2" s="1"/>
        <i x="1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FESION" xr10:uid="{2F3A4C1B-1A25-4FD3-8FA7-D4EA5BE46802}" sourceName="PROFESION">
  <pivotTables>
    <pivotTable tabId="6" name="TablaDinámica12"/>
    <pivotTable tabId="6" name="TablaDinámica10"/>
    <pivotTable tabId="6" name="TablaDinámica11"/>
  </pivotTables>
  <data>
    <tabular pivotCacheId="1875281491">
      <items count="5">
        <i x="0" s="1"/>
        <i x="1" s="1"/>
        <i x="3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5244CD0C-E934-457A-99A3-D3ABF1168FC0}" sourceName="GENERO">
  <pivotTables>
    <pivotTable tabId="6" name="TablaDinámica10"/>
    <pivotTable tabId="6" name="TablaDinámica11"/>
    <pivotTable tabId="6" name="TablaDinámica12"/>
  </pivotTables>
  <data>
    <tabular pivotCacheId="187528149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9EC78B1B-EE84-402B-A197-5254DA44E12C}" cache="SegmentaciónDeDatos_CIUDAD" caption="CIUDAD" rowHeight="241300"/>
  <slicer name="PROFESION" xr10:uid="{269B0B67-32EA-4F5F-950F-232EAB9B1515}" cache="SegmentaciónDeDatos_PROFESION" caption="PROFESION" style="SlicerStyleLight2" rowHeight="241300"/>
  <slicer name="GENERO" xr10:uid="{08171B05-EED6-4265-97CA-893F5401B712}" cache="SegmentaciónDeDatos_GENERO" caption="GENERO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C25609-FBAB-4B44-9970-1F80C8DAD538}" name="Tabla2" displayName="Tabla2" ref="B7:G27" totalsRowShown="0" headerRowDxfId="44" headerRowBorderDxfId="43" tableBorderDxfId="42" totalsRowBorderDxfId="41">
  <autoFilter ref="B7:G27" xr:uid="{CDC25609-FBAB-4B44-9970-1F80C8DAD538}"/>
  <tableColumns count="6">
    <tableColumn id="1" xr3:uid="{822D4633-2ECF-4DCF-9EE0-15292E0870A8}" name="Nro" dataDxfId="40"/>
    <tableColumn id="2" xr3:uid="{1828D726-1B89-4EAA-A491-FD27CFA149A4}" name="NOMBRE" dataDxfId="39"/>
    <tableColumn id="3" xr3:uid="{A894BA6A-B0FF-41CE-A559-7836D8B39961}" name="CIUDAD" dataDxfId="38"/>
    <tableColumn id="4" xr3:uid="{3A3A430D-89E6-442B-97FA-B1353D4649D4}" name="PROFESION" dataDxfId="37"/>
    <tableColumn id="5" xr3:uid="{7F6C4767-9FD8-4D9C-8F88-C9D053BC492F}" name="MONTO" dataDxfId="36"/>
    <tableColumn id="6" xr3:uid="{B4EFDEF6-F373-4060-B3B1-E4F2B1AE6A7F}" name="EDAD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E3EFE6-E09F-4DAD-8780-50357873A99C}" name="Tabla4" displayName="Tabla4" ref="B7:G64" totalsRowShown="0" headerRowDxfId="20" dataDxfId="21" tableBorderDxfId="28">
  <autoFilter ref="B7:G64" xr:uid="{7CE3EFE6-E09F-4DAD-8780-50357873A99C}"/>
  <tableColumns count="6">
    <tableColumn id="1" xr3:uid="{91FA9010-DD9A-41C3-BF2D-FE1D8D16D0EF}" name="Producto" dataDxfId="27"/>
    <tableColumn id="2" xr3:uid="{0E4081E6-273D-49CF-926A-FB884676495E}" name="Cantidad" dataDxfId="26"/>
    <tableColumn id="3" xr3:uid="{D97572D5-847A-4066-815F-A49919102518}" name="Precio" dataDxfId="25"/>
    <tableColumn id="4" xr3:uid="{4C7F7683-75A4-4638-A212-C70BA31B51DD}" name="Monto" dataDxfId="24">
      <calculatedColumnFormula>C8*D8</calculatedColumnFormula>
    </tableColumn>
    <tableColumn id="5" xr3:uid="{42F05443-A4D1-4BEF-932B-6FE1052B794A}" name="Mes" dataDxfId="23"/>
    <tableColumn id="6" xr3:uid="{39B52E1D-1A4A-4018-A83E-1C3762F870B2}" name="Vendedor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EEA60E-414C-47CE-BEB4-F6163D9A92C4}" name="Tabla5" displayName="Tabla5" ref="B7:H27" totalsRowShown="0" headerRowDxfId="11" tableBorderDxfId="19">
  <autoFilter ref="B7:H27" xr:uid="{84EEA60E-414C-47CE-BEB4-F6163D9A92C4}"/>
  <tableColumns count="7">
    <tableColumn id="1" xr3:uid="{39053949-5921-4363-8CD1-465BD0685651}" name="Nro" dataDxfId="18"/>
    <tableColumn id="2" xr3:uid="{C95538E4-611F-4939-AE20-02A3E19D437A}" name="NOMBRE" dataDxfId="17"/>
    <tableColumn id="3" xr3:uid="{056A6EF0-27E0-494E-AA2E-B34A4E1658CE}" name="CIUDAD" dataDxfId="16"/>
    <tableColumn id="4" xr3:uid="{AA35942F-A81E-4200-9767-210AAB857FB7}" name="GENERO" dataDxfId="15"/>
    <tableColumn id="5" xr3:uid="{4330AD19-6BFB-4DE2-B931-CDBEA8F83D5E}" name="PROFESION" dataDxfId="14"/>
    <tableColumn id="6" xr3:uid="{0B190A6A-0AA9-4514-9097-E641B5038D73}" name="MONTO" dataDxfId="13"/>
    <tableColumn id="7" xr3:uid="{42EFCE1D-E479-4AED-9648-1147B18270C5}" name="EDAD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A2C2E3-FA51-4F75-A43E-7036D583FFE2}" name="Tabla6" displayName="Tabla6" ref="B10:H30" totalsRowShown="0" headerRowDxfId="0" headerRowBorderDxfId="9" tableBorderDxfId="10" totalsRowBorderDxfId="8">
  <autoFilter ref="B10:H30" xr:uid="{B4A2C2E3-FA51-4F75-A43E-7036D583FFE2}"/>
  <tableColumns count="7">
    <tableColumn id="1" xr3:uid="{E3164FDD-82F4-415A-B2D9-C7BA2DA79952}" name="Nro" dataDxfId="7"/>
    <tableColumn id="2" xr3:uid="{B885F3A1-6F2E-4B3E-9C07-F7B70C249776}" name="NOMBRE" dataDxfId="6"/>
    <tableColumn id="3" xr3:uid="{6C5C9848-CCD9-418B-9769-3BE527B702F9}" name="CIUDAD" dataDxfId="5"/>
    <tableColumn id="4" xr3:uid="{4125F15C-4F03-4FC5-9104-975528F259E5}" name="GENERO" dataDxfId="4"/>
    <tableColumn id="5" xr3:uid="{6D84569C-F1D3-4EF6-B1C0-2C0CD50F7AF5}" name="PROFESION" dataDxfId="3"/>
    <tableColumn id="6" xr3:uid="{4215F5DE-E8F4-40D8-8C9D-EDA76425FB48}" name="MONTO" dataDxfId="2"/>
    <tableColumn id="7" xr3:uid="{87FA5B64-3387-4FC4-80FE-EFCA4E97449A}" name="EDA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2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microsoft.com/office/2007/relationships/slicer" Target="../slicers/slicer1.xml"/><Relationship Id="rId5" Type="http://schemas.openxmlformats.org/officeDocument/2006/relationships/table" Target="../tables/table3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54F5-741A-4AFC-95A1-BFB7320D8AD6}">
  <sheetPr codeName="Hoja1"/>
  <dimension ref="A1:L24"/>
  <sheetViews>
    <sheetView workbookViewId="0">
      <selection activeCell="H44" sqref="H44"/>
    </sheetView>
  </sheetViews>
  <sheetFormatPr baseColWidth="10" defaultRowHeight="15" x14ac:dyDescent="0.25"/>
  <cols>
    <col min="1" max="1" width="10.28515625" customWidth="1"/>
    <col min="2" max="2" width="11.42578125" customWidth="1"/>
    <col min="3" max="3" width="10" customWidth="1"/>
    <col min="6" max="6" width="86.4257812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F7F5-E021-4433-94FF-09197FB16A38}">
  <sheetPr codeName="Hoja2"/>
  <dimension ref="A1:Q8"/>
  <sheetViews>
    <sheetView workbookViewId="0">
      <selection activeCell="H28" sqref="H28"/>
    </sheetView>
  </sheetViews>
  <sheetFormatPr baseColWidth="10" defaultRowHeight="15" x14ac:dyDescent="0.25"/>
  <sheetData>
    <row r="1" spans="1:17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7" spans="1:17" s="24" customFormat="1" ht="26.25" x14ac:dyDescent="0.4">
      <c r="A7" s="23" t="s">
        <v>66</v>
      </c>
    </row>
    <row r="8" spans="1:17" s="24" customFormat="1" ht="26.25" x14ac:dyDescent="0.4">
      <c r="A8" s="24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0BF3-2B9E-4788-81DC-32D0F008ED9D}">
  <sheetPr codeName="Hoja5"/>
  <dimension ref="A1:Q54"/>
  <sheetViews>
    <sheetView topLeftCell="A26" zoomScale="130" zoomScaleNormal="130" workbookViewId="0">
      <selection activeCell="N40" sqref="N40"/>
    </sheetView>
  </sheetViews>
  <sheetFormatPr baseColWidth="10" defaultRowHeight="15" x14ac:dyDescent="0.25"/>
  <cols>
    <col min="2" max="2" width="13.42578125" bestFit="1" customWidth="1"/>
    <col min="3" max="3" width="12" bestFit="1" customWidth="1"/>
    <col min="5" max="5" width="17.5703125" bestFit="1" customWidth="1"/>
    <col min="6" max="6" width="17.85546875" bestFit="1" customWidth="1"/>
    <col min="7" max="7" width="11.140625" bestFit="1" customWidth="1"/>
    <col min="8" max="8" width="17.5703125" bestFit="1" customWidth="1"/>
    <col min="9" max="9" width="13.7109375" bestFit="1" customWidth="1"/>
    <col min="10" max="10" width="7.140625" bestFit="1" customWidth="1"/>
    <col min="11" max="11" width="8.7109375" bestFit="1" customWidth="1"/>
    <col min="12" max="12" width="12.5703125" bestFit="1" customWidth="1"/>
  </cols>
  <sheetData>
    <row r="1" spans="1:17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7" spans="1:17" x14ac:dyDescent="0.25">
      <c r="B7" s="26" t="s">
        <v>0</v>
      </c>
      <c r="C7" s="27" t="s">
        <v>1</v>
      </c>
      <c r="D7" s="27" t="s">
        <v>2</v>
      </c>
      <c r="E7" s="27" t="s">
        <v>3</v>
      </c>
      <c r="F7" s="27" t="s">
        <v>4</v>
      </c>
      <c r="G7" s="28" t="s">
        <v>5</v>
      </c>
      <c r="K7" s="32" t="s">
        <v>68</v>
      </c>
      <c r="L7" s="33"/>
      <c r="M7" s="33"/>
      <c r="N7" s="33"/>
      <c r="O7" s="33"/>
      <c r="P7" s="33"/>
      <c r="Q7" s="33"/>
    </row>
    <row r="8" spans="1:17" x14ac:dyDescent="0.25">
      <c r="B8" s="25">
        <v>1</v>
      </c>
      <c r="C8" s="2" t="s">
        <v>6</v>
      </c>
      <c r="D8" s="2" t="s">
        <v>7</v>
      </c>
      <c r="E8" s="3" t="s">
        <v>8</v>
      </c>
      <c r="F8" s="4">
        <v>1000</v>
      </c>
      <c r="G8" s="18">
        <v>75</v>
      </c>
      <c r="K8" s="33"/>
      <c r="L8" s="33"/>
      <c r="M8" s="33"/>
      <c r="N8" s="33"/>
      <c r="O8" s="33"/>
      <c r="P8" s="33"/>
      <c r="Q8" s="33"/>
    </row>
    <row r="9" spans="1:17" x14ac:dyDescent="0.25">
      <c r="B9" s="25">
        <v>2</v>
      </c>
      <c r="C9" s="2" t="s">
        <v>9</v>
      </c>
      <c r="D9" s="2" t="s">
        <v>10</v>
      </c>
      <c r="E9" s="3" t="s">
        <v>11</v>
      </c>
      <c r="F9" s="4">
        <v>1500</v>
      </c>
      <c r="G9" s="18">
        <v>40</v>
      </c>
      <c r="K9" s="33"/>
      <c r="L9" s="33"/>
      <c r="M9" s="33"/>
      <c r="N9" s="33"/>
      <c r="O9" s="33"/>
      <c r="P9" s="33"/>
      <c r="Q9" s="33"/>
    </row>
    <row r="10" spans="1:17" x14ac:dyDescent="0.25">
      <c r="B10" s="25">
        <v>3</v>
      </c>
      <c r="C10" s="2" t="s">
        <v>12</v>
      </c>
      <c r="D10" s="2" t="s">
        <v>13</v>
      </c>
      <c r="E10" s="3" t="s">
        <v>14</v>
      </c>
      <c r="F10" s="4">
        <v>2000</v>
      </c>
      <c r="G10" s="18">
        <v>31</v>
      </c>
      <c r="K10" s="33"/>
      <c r="L10" s="33"/>
      <c r="M10" s="33"/>
      <c r="N10" s="33"/>
      <c r="O10" s="33"/>
      <c r="P10" s="33"/>
      <c r="Q10" s="33"/>
    </row>
    <row r="11" spans="1:17" x14ac:dyDescent="0.25">
      <c r="B11" s="25">
        <v>4</v>
      </c>
      <c r="C11" s="2" t="s">
        <v>15</v>
      </c>
      <c r="D11" s="2" t="s">
        <v>7</v>
      </c>
      <c r="E11" s="3" t="s">
        <v>16</v>
      </c>
      <c r="F11" s="4">
        <v>800</v>
      </c>
      <c r="G11" s="18">
        <v>37</v>
      </c>
      <c r="K11" s="33"/>
      <c r="L11" s="33"/>
      <c r="M11" s="33"/>
      <c r="N11" s="33"/>
      <c r="O11" s="33"/>
      <c r="P11" s="33"/>
      <c r="Q11" s="33"/>
    </row>
    <row r="12" spans="1:17" x14ac:dyDescent="0.25">
      <c r="B12" s="25">
        <v>5</v>
      </c>
      <c r="C12" s="2" t="s">
        <v>17</v>
      </c>
      <c r="D12" s="2" t="s">
        <v>18</v>
      </c>
      <c r="E12" s="3" t="s">
        <v>8</v>
      </c>
      <c r="F12" s="4">
        <v>600</v>
      </c>
      <c r="G12" s="18">
        <v>21</v>
      </c>
      <c r="K12" s="33"/>
      <c r="L12" s="33"/>
      <c r="M12" s="33"/>
      <c r="N12" s="33"/>
      <c r="O12" s="33"/>
      <c r="P12" s="33"/>
      <c r="Q12" s="33"/>
    </row>
    <row r="13" spans="1:17" x14ac:dyDescent="0.25">
      <c r="B13" s="25">
        <v>6</v>
      </c>
      <c r="C13" s="2" t="s">
        <v>19</v>
      </c>
      <c r="D13" s="2" t="s">
        <v>10</v>
      </c>
      <c r="E13" s="3" t="s">
        <v>14</v>
      </c>
      <c r="F13" s="4">
        <v>700</v>
      </c>
      <c r="G13" s="18">
        <v>47</v>
      </c>
      <c r="K13" s="33"/>
      <c r="L13" s="33"/>
      <c r="M13" s="33"/>
      <c r="N13" s="33"/>
      <c r="O13" s="33"/>
      <c r="P13" s="33"/>
      <c r="Q13" s="33"/>
    </row>
    <row r="14" spans="1:17" x14ac:dyDescent="0.25">
      <c r="B14" s="25">
        <v>7</v>
      </c>
      <c r="C14" s="2" t="s">
        <v>20</v>
      </c>
      <c r="D14" s="2" t="s">
        <v>13</v>
      </c>
      <c r="E14" s="3" t="s">
        <v>14</v>
      </c>
      <c r="F14" s="4">
        <v>2000</v>
      </c>
      <c r="G14" s="18">
        <v>23</v>
      </c>
      <c r="K14" s="33"/>
      <c r="L14" s="33"/>
      <c r="M14" s="33"/>
      <c r="N14" s="33"/>
      <c r="O14" s="33"/>
      <c r="P14" s="33"/>
      <c r="Q14" s="33"/>
    </row>
    <row r="15" spans="1:17" x14ac:dyDescent="0.25">
      <c r="B15" s="25">
        <v>8</v>
      </c>
      <c r="C15" s="2" t="s">
        <v>21</v>
      </c>
      <c r="D15" s="2" t="s">
        <v>7</v>
      </c>
      <c r="E15" s="3" t="s">
        <v>11</v>
      </c>
      <c r="F15" s="4">
        <v>2500</v>
      </c>
      <c r="G15" s="18">
        <v>45</v>
      </c>
      <c r="K15" s="33"/>
      <c r="L15" s="33"/>
      <c r="M15" s="33"/>
      <c r="N15" s="33"/>
      <c r="O15" s="33"/>
      <c r="P15" s="33"/>
      <c r="Q15" s="33"/>
    </row>
    <row r="16" spans="1:17" x14ac:dyDescent="0.25">
      <c r="B16" s="25">
        <v>9</v>
      </c>
      <c r="C16" s="2" t="s">
        <v>22</v>
      </c>
      <c r="D16" s="2" t="s">
        <v>10</v>
      </c>
      <c r="E16" s="3" t="s">
        <v>23</v>
      </c>
      <c r="F16" s="4">
        <v>400</v>
      </c>
      <c r="G16" s="18">
        <v>12</v>
      </c>
      <c r="K16" s="33"/>
      <c r="L16" s="33"/>
      <c r="M16" s="33"/>
      <c r="N16" s="33"/>
      <c r="O16" s="33"/>
      <c r="P16" s="33"/>
      <c r="Q16" s="33"/>
    </row>
    <row r="17" spans="2:17" x14ac:dyDescent="0.25">
      <c r="B17" s="25">
        <v>10</v>
      </c>
      <c r="C17" s="2" t="s">
        <v>24</v>
      </c>
      <c r="D17" s="2" t="s">
        <v>18</v>
      </c>
      <c r="E17" s="3" t="s">
        <v>23</v>
      </c>
      <c r="F17" s="4">
        <v>1800</v>
      </c>
      <c r="G17" s="18">
        <v>23</v>
      </c>
      <c r="K17" s="33"/>
      <c r="L17" s="33"/>
      <c r="M17" s="33"/>
      <c r="N17" s="33"/>
      <c r="O17" s="33"/>
      <c r="P17" s="33"/>
      <c r="Q17" s="33"/>
    </row>
    <row r="18" spans="2:17" x14ac:dyDescent="0.25">
      <c r="B18" s="25">
        <v>11</v>
      </c>
      <c r="C18" s="2" t="s">
        <v>25</v>
      </c>
      <c r="D18" s="2" t="s">
        <v>10</v>
      </c>
      <c r="E18" s="3" t="s">
        <v>8</v>
      </c>
      <c r="F18" s="4">
        <v>3000</v>
      </c>
      <c r="G18" s="18">
        <v>37</v>
      </c>
      <c r="K18" s="33"/>
      <c r="L18" s="33"/>
      <c r="M18" s="33"/>
      <c r="N18" s="33"/>
      <c r="O18" s="33"/>
      <c r="P18" s="33"/>
      <c r="Q18" s="33"/>
    </row>
    <row r="19" spans="2:17" x14ac:dyDescent="0.25">
      <c r="B19" s="25">
        <v>12</v>
      </c>
      <c r="C19" s="2" t="s">
        <v>26</v>
      </c>
      <c r="D19" s="2" t="s">
        <v>27</v>
      </c>
      <c r="E19" s="3" t="s">
        <v>11</v>
      </c>
      <c r="F19" s="4">
        <v>1500</v>
      </c>
      <c r="G19" s="18">
        <v>30</v>
      </c>
      <c r="K19" s="33"/>
      <c r="L19" s="33"/>
      <c r="M19" s="33"/>
      <c r="N19" s="33"/>
      <c r="O19" s="33"/>
      <c r="P19" s="33"/>
      <c r="Q19" s="33"/>
    </row>
    <row r="20" spans="2:17" x14ac:dyDescent="0.25">
      <c r="B20" s="25">
        <v>13</v>
      </c>
      <c r="C20" s="2" t="s">
        <v>28</v>
      </c>
      <c r="D20" s="2" t="s">
        <v>29</v>
      </c>
      <c r="E20" s="3" t="s">
        <v>14</v>
      </c>
      <c r="F20" s="4">
        <v>1900</v>
      </c>
      <c r="G20" s="18">
        <v>32</v>
      </c>
      <c r="K20" s="33"/>
      <c r="L20" s="33"/>
      <c r="M20" s="33"/>
      <c r="N20" s="33"/>
      <c r="O20" s="33"/>
      <c r="P20" s="33"/>
      <c r="Q20" s="33"/>
    </row>
    <row r="21" spans="2:17" x14ac:dyDescent="0.25">
      <c r="B21" s="25">
        <v>14</v>
      </c>
      <c r="C21" s="2" t="s">
        <v>19</v>
      </c>
      <c r="D21" s="2" t="s">
        <v>13</v>
      </c>
      <c r="E21" s="3" t="s">
        <v>23</v>
      </c>
      <c r="F21" s="4">
        <v>800</v>
      </c>
      <c r="G21" s="18">
        <v>23</v>
      </c>
      <c r="K21" s="33"/>
      <c r="L21" s="33"/>
      <c r="M21" s="33"/>
      <c r="N21" s="33"/>
      <c r="O21" s="33"/>
      <c r="P21" s="33"/>
      <c r="Q21" s="33"/>
    </row>
    <row r="22" spans="2:17" x14ac:dyDescent="0.25">
      <c r="B22" s="25">
        <v>15</v>
      </c>
      <c r="C22" s="2" t="s">
        <v>30</v>
      </c>
      <c r="D22" s="2" t="s">
        <v>18</v>
      </c>
      <c r="E22" s="3" t="s">
        <v>8</v>
      </c>
      <c r="F22" s="4">
        <v>600</v>
      </c>
      <c r="G22" s="18">
        <v>29</v>
      </c>
      <c r="K22" s="33"/>
      <c r="L22" s="33"/>
      <c r="M22" s="33"/>
      <c r="N22" s="33"/>
      <c r="O22" s="33"/>
      <c r="P22" s="33"/>
      <c r="Q22" s="33"/>
    </row>
    <row r="23" spans="2:17" x14ac:dyDescent="0.25">
      <c r="B23" s="25">
        <v>16</v>
      </c>
      <c r="C23" s="2" t="s">
        <v>31</v>
      </c>
      <c r="D23" s="2" t="s">
        <v>7</v>
      </c>
      <c r="E23" s="3" t="s">
        <v>11</v>
      </c>
      <c r="F23" s="4">
        <v>700</v>
      </c>
      <c r="G23" s="18">
        <v>46</v>
      </c>
      <c r="K23" s="33"/>
      <c r="L23" s="33"/>
      <c r="M23" s="33"/>
      <c r="N23" s="33"/>
      <c r="O23" s="33"/>
      <c r="P23" s="33"/>
      <c r="Q23" s="33"/>
    </row>
    <row r="24" spans="2:17" x14ac:dyDescent="0.25">
      <c r="B24" s="25">
        <v>17</v>
      </c>
      <c r="C24" s="2" t="s">
        <v>32</v>
      </c>
      <c r="D24" s="2" t="s">
        <v>10</v>
      </c>
      <c r="E24" s="3" t="s">
        <v>23</v>
      </c>
      <c r="F24" s="4">
        <v>5000</v>
      </c>
      <c r="G24" s="18">
        <v>35</v>
      </c>
      <c r="K24" s="33"/>
      <c r="L24" s="33"/>
      <c r="M24" s="33"/>
      <c r="N24" s="33"/>
      <c r="O24" s="33"/>
      <c r="P24" s="33"/>
      <c r="Q24" s="33"/>
    </row>
    <row r="25" spans="2:17" x14ac:dyDescent="0.25">
      <c r="B25" s="25">
        <v>18</v>
      </c>
      <c r="C25" s="2" t="s">
        <v>33</v>
      </c>
      <c r="D25" s="2" t="s">
        <v>29</v>
      </c>
      <c r="E25" s="3" t="s">
        <v>11</v>
      </c>
      <c r="F25" s="4">
        <v>2500</v>
      </c>
      <c r="G25" s="18">
        <v>21</v>
      </c>
      <c r="K25" s="33"/>
      <c r="L25" s="33"/>
      <c r="M25" s="33"/>
      <c r="N25" s="33"/>
      <c r="O25" s="33"/>
      <c r="P25" s="33"/>
      <c r="Q25" s="33"/>
    </row>
    <row r="26" spans="2:17" x14ac:dyDescent="0.25">
      <c r="B26" s="25">
        <v>19</v>
      </c>
      <c r="C26" s="2" t="s">
        <v>34</v>
      </c>
      <c r="D26" s="2" t="s">
        <v>27</v>
      </c>
      <c r="E26" s="3" t="s">
        <v>8</v>
      </c>
      <c r="F26" s="4">
        <v>400</v>
      </c>
      <c r="G26" s="18">
        <v>22</v>
      </c>
      <c r="K26" s="33"/>
      <c r="L26" s="33"/>
      <c r="M26" s="33"/>
      <c r="N26" s="33"/>
      <c r="O26" s="33"/>
      <c r="P26" s="33"/>
      <c r="Q26" s="33"/>
    </row>
    <row r="27" spans="2:17" x14ac:dyDescent="0.25">
      <c r="B27" s="29">
        <v>20</v>
      </c>
      <c r="C27" s="17" t="s">
        <v>35</v>
      </c>
      <c r="D27" s="17" t="s">
        <v>7</v>
      </c>
      <c r="E27" s="30" t="s">
        <v>23</v>
      </c>
      <c r="F27" s="31">
        <v>1800</v>
      </c>
      <c r="G27" s="13">
        <v>35</v>
      </c>
      <c r="K27" s="33"/>
      <c r="L27" s="33"/>
      <c r="M27" s="33"/>
      <c r="N27" s="33"/>
      <c r="O27" s="33"/>
      <c r="P27" s="33"/>
      <c r="Q27" s="33"/>
    </row>
    <row r="30" spans="2:17" x14ac:dyDescent="0.25">
      <c r="B30" s="40" t="s">
        <v>75</v>
      </c>
      <c r="C30" s="39"/>
      <c r="E30" s="40" t="s">
        <v>77</v>
      </c>
      <c r="F30" s="40"/>
      <c r="H30" s="40" t="s">
        <v>78</v>
      </c>
      <c r="I30" s="39"/>
      <c r="J30" s="39"/>
    </row>
    <row r="32" spans="2:17" x14ac:dyDescent="0.25">
      <c r="B32" s="35" t="s">
        <v>73</v>
      </c>
      <c r="C32" s="38" t="s">
        <v>74</v>
      </c>
      <c r="E32" s="35" t="s">
        <v>70</v>
      </c>
      <c r="F32" t="s">
        <v>76</v>
      </c>
      <c r="H32" s="35" t="s">
        <v>70</v>
      </c>
      <c r="I32" t="s">
        <v>79</v>
      </c>
    </row>
    <row r="33" spans="2:9" x14ac:dyDescent="0.25">
      <c r="B33" s="36" t="s">
        <v>8</v>
      </c>
      <c r="C33" s="38">
        <v>5600</v>
      </c>
      <c r="E33" s="36" t="s">
        <v>7</v>
      </c>
      <c r="F33" s="37">
        <v>47.6</v>
      </c>
      <c r="H33" s="36" t="s">
        <v>8</v>
      </c>
      <c r="I33" s="37">
        <v>5</v>
      </c>
    </row>
    <row r="34" spans="2:9" x14ac:dyDescent="0.25">
      <c r="B34" s="36" t="s">
        <v>11</v>
      </c>
      <c r="C34" s="38">
        <v>8700</v>
      </c>
      <c r="E34" s="36" t="s">
        <v>18</v>
      </c>
      <c r="F34" s="37">
        <v>24.333333333333332</v>
      </c>
      <c r="H34" s="41" t="s">
        <v>7</v>
      </c>
      <c r="I34" s="37">
        <v>1</v>
      </c>
    </row>
    <row r="35" spans="2:9" x14ac:dyDescent="0.25">
      <c r="B35" s="36" t="s">
        <v>16</v>
      </c>
      <c r="C35" s="38">
        <v>800</v>
      </c>
      <c r="E35" s="36" t="s">
        <v>13</v>
      </c>
      <c r="F35" s="37">
        <v>25.666666666666668</v>
      </c>
      <c r="H35" s="41" t="s">
        <v>18</v>
      </c>
      <c r="I35" s="37">
        <v>2</v>
      </c>
    </row>
    <row r="36" spans="2:9" x14ac:dyDescent="0.25">
      <c r="B36" s="36" t="s">
        <v>23</v>
      </c>
      <c r="C36" s="38">
        <v>9800</v>
      </c>
      <c r="E36" s="36" t="s">
        <v>10</v>
      </c>
      <c r="F36" s="37">
        <v>34.200000000000003</v>
      </c>
      <c r="H36" s="41" t="s">
        <v>10</v>
      </c>
      <c r="I36" s="37">
        <v>1</v>
      </c>
    </row>
    <row r="37" spans="2:9" x14ac:dyDescent="0.25">
      <c r="B37" s="36" t="s">
        <v>14</v>
      </c>
      <c r="C37" s="38">
        <v>6600</v>
      </c>
      <c r="E37" s="36" t="s">
        <v>27</v>
      </c>
      <c r="F37" s="37">
        <v>26</v>
      </c>
      <c r="H37" s="41" t="s">
        <v>27</v>
      </c>
      <c r="I37" s="37">
        <v>1</v>
      </c>
    </row>
    <row r="38" spans="2:9" x14ac:dyDescent="0.25">
      <c r="B38" s="36" t="s">
        <v>71</v>
      </c>
      <c r="C38" s="38">
        <v>31500</v>
      </c>
      <c r="E38" s="36" t="s">
        <v>29</v>
      </c>
      <c r="F38" s="37">
        <v>26.5</v>
      </c>
      <c r="H38" s="36" t="s">
        <v>11</v>
      </c>
      <c r="I38" s="37">
        <v>5</v>
      </c>
    </row>
    <row r="39" spans="2:9" x14ac:dyDescent="0.25">
      <c r="E39" s="36" t="s">
        <v>71</v>
      </c>
      <c r="F39" s="37">
        <v>33.200000000000003</v>
      </c>
      <c r="H39" s="41" t="s">
        <v>7</v>
      </c>
      <c r="I39" s="37">
        <v>2</v>
      </c>
    </row>
    <row r="40" spans="2:9" x14ac:dyDescent="0.25">
      <c r="H40" s="41" t="s">
        <v>10</v>
      </c>
      <c r="I40" s="37">
        <v>1</v>
      </c>
    </row>
    <row r="41" spans="2:9" x14ac:dyDescent="0.25">
      <c r="H41" s="41" t="s">
        <v>27</v>
      </c>
      <c r="I41" s="37">
        <v>1</v>
      </c>
    </row>
    <row r="42" spans="2:9" x14ac:dyDescent="0.25">
      <c r="H42" s="41" t="s">
        <v>29</v>
      </c>
      <c r="I42" s="37">
        <v>1</v>
      </c>
    </row>
    <row r="43" spans="2:9" x14ac:dyDescent="0.25">
      <c r="H43" s="36" t="s">
        <v>16</v>
      </c>
      <c r="I43" s="37">
        <v>1</v>
      </c>
    </row>
    <row r="44" spans="2:9" x14ac:dyDescent="0.25">
      <c r="H44" s="41" t="s">
        <v>7</v>
      </c>
      <c r="I44" s="37">
        <v>1</v>
      </c>
    </row>
    <row r="45" spans="2:9" x14ac:dyDescent="0.25">
      <c r="H45" s="36" t="s">
        <v>23</v>
      </c>
      <c r="I45" s="37">
        <v>5</v>
      </c>
    </row>
    <row r="46" spans="2:9" x14ac:dyDescent="0.25">
      <c r="H46" s="41" t="s">
        <v>7</v>
      </c>
      <c r="I46" s="37">
        <v>1</v>
      </c>
    </row>
    <row r="47" spans="2:9" x14ac:dyDescent="0.25">
      <c r="H47" s="41" t="s">
        <v>18</v>
      </c>
      <c r="I47" s="37">
        <v>1</v>
      </c>
    </row>
    <row r="48" spans="2:9" x14ac:dyDescent="0.25">
      <c r="H48" s="41" t="s">
        <v>13</v>
      </c>
      <c r="I48" s="37">
        <v>1</v>
      </c>
    </row>
    <row r="49" spans="8:9" x14ac:dyDescent="0.25">
      <c r="H49" s="41" t="s">
        <v>10</v>
      </c>
      <c r="I49" s="37">
        <v>2</v>
      </c>
    </row>
    <row r="50" spans="8:9" x14ac:dyDescent="0.25">
      <c r="H50" s="36" t="s">
        <v>14</v>
      </c>
      <c r="I50" s="37">
        <v>4</v>
      </c>
    </row>
    <row r="51" spans="8:9" x14ac:dyDescent="0.25">
      <c r="H51" s="41" t="s">
        <v>13</v>
      </c>
      <c r="I51" s="37">
        <v>2</v>
      </c>
    </row>
    <row r="52" spans="8:9" x14ac:dyDescent="0.25">
      <c r="H52" s="41" t="s">
        <v>10</v>
      </c>
      <c r="I52" s="37">
        <v>1</v>
      </c>
    </row>
    <row r="53" spans="8:9" x14ac:dyDescent="0.25">
      <c r="H53" s="41" t="s">
        <v>29</v>
      </c>
      <c r="I53" s="37">
        <v>1</v>
      </c>
    </row>
    <row r="54" spans="8:9" x14ac:dyDescent="0.25">
      <c r="H54" s="36" t="s">
        <v>71</v>
      </c>
      <c r="I54" s="37">
        <v>20</v>
      </c>
    </row>
  </sheetData>
  <mergeCells count="4">
    <mergeCell ref="K7:Q27"/>
    <mergeCell ref="B30:C30"/>
    <mergeCell ref="E30:F30"/>
    <mergeCell ref="H30:J30"/>
  </mergeCells>
  <pageMargins left="0.7" right="0.7" top="0.75" bottom="0.75" header="0.3" footer="0.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2D03-A3EA-4851-BBAB-4F5A5CA44EA4}">
  <sheetPr codeName="Hoja7"/>
  <dimension ref="A1:Q41"/>
  <sheetViews>
    <sheetView workbookViewId="0">
      <selection activeCell="V9" sqref="V9"/>
    </sheetView>
  </sheetViews>
  <sheetFormatPr baseColWidth="10" defaultRowHeight="15" x14ac:dyDescent="0.25"/>
  <cols>
    <col min="10" max="10" width="17.5703125" bestFit="1" customWidth="1"/>
    <col min="11" max="11" width="13.42578125" bestFit="1" customWidth="1"/>
    <col min="12" max="12" width="20.42578125" bestFit="1" customWidth="1"/>
    <col min="13" max="13" width="13.85546875" bestFit="1" customWidth="1"/>
    <col min="14" max="14" width="7.140625" bestFit="1" customWidth="1"/>
    <col min="15" max="15" width="6" bestFit="1" customWidth="1"/>
    <col min="16" max="16" width="7.140625" bestFit="1" customWidth="1"/>
    <col min="17" max="17" width="8.7109375" bestFit="1" customWidth="1"/>
    <col min="18" max="18" width="12.5703125" bestFit="1" customWidth="1"/>
    <col min="19" max="19" width="7.5703125" bestFit="1" customWidth="1"/>
    <col min="20" max="20" width="23" customWidth="1"/>
    <col min="21" max="21" width="17.5703125" bestFit="1" customWidth="1"/>
    <col min="22" max="22" width="16.28515625" bestFit="1" customWidth="1"/>
    <col min="23" max="23" width="5" bestFit="1" customWidth="1"/>
    <col min="24" max="24" width="7.85546875" bestFit="1" customWidth="1"/>
    <col min="25" max="25" width="7.140625" bestFit="1" customWidth="1"/>
    <col min="26" max="26" width="7.5703125" bestFit="1" customWidth="1"/>
    <col min="27" max="27" width="9.140625" bestFit="1" customWidth="1"/>
    <col min="28" max="28" width="8.42578125" bestFit="1" customWidth="1"/>
    <col min="29" max="29" width="6.28515625" bestFit="1" customWidth="1"/>
    <col min="30" max="30" width="12.5703125" bestFit="1" customWidth="1"/>
  </cols>
  <sheetData>
    <row r="1" spans="1:17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6" spans="1:17" x14ac:dyDescent="0.25">
      <c r="K6" s="35" t="s">
        <v>2</v>
      </c>
      <c r="L6" t="s">
        <v>29</v>
      </c>
    </row>
    <row r="7" spans="1:17" x14ac:dyDescent="0.25">
      <c r="B7" s="10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</row>
    <row r="8" spans="1:17" x14ac:dyDescent="0.25">
      <c r="B8" s="1">
        <v>1</v>
      </c>
      <c r="C8" s="2" t="s">
        <v>6</v>
      </c>
      <c r="D8" s="2" t="s">
        <v>7</v>
      </c>
      <c r="E8" s="3" t="s">
        <v>8</v>
      </c>
      <c r="F8" s="4">
        <v>1000</v>
      </c>
      <c r="G8" s="2">
        <v>25</v>
      </c>
      <c r="K8" s="35" t="s">
        <v>73</v>
      </c>
      <c r="L8" s="38" t="s">
        <v>74</v>
      </c>
    </row>
    <row r="9" spans="1:17" x14ac:dyDescent="0.25">
      <c r="B9" s="1">
        <v>2</v>
      </c>
      <c r="C9" s="2" t="s">
        <v>9</v>
      </c>
      <c r="D9" s="2" t="s">
        <v>10</v>
      </c>
      <c r="E9" s="3" t="s">
        <v>11</v>
      </c>
      <c r="F9" s="4">
        <v>1500</v>
      </c>
      <c r="G9" s="2">
        <v>40</v>
      </c>
      <c r="K9" s="36" t="s">
        <v>11</v>
      </c>
      <c r="L9" s="38">
        <v>2500</v>
      </c>
    </row>
    <row r="10" spans="1:17" x14ac:dyDescent="0.25">
      <c r="B10" s="1">
        <v>3</v>
      </c>
      <c r="C10" s="2" t="s">
        <v>12</v>
      </c>
      <c r="D10" s="2" t="s">
        <v>13</v>
      </c>
      <c r="E10" s="3" t="s">
        <v>14</v>
      </c>
      <c r="F10" s="4">
        <v>2000</v>
      </c>
      <c r="G10" s="2">
        <v>31</v>
      </c>
      <c r="K10" s="36" t="s">
        <v>14</v>
      </c>
      <c r="L10" s="38">
        <v>1900</v>
      </c>
    </row>
    <row r="11" spans="1:17" x14ac:dyDescent="0.25">
      <c r="B11" s="1">
        <v>4</v>
      </c>
      <c r="C11" s="2" t="s">
        <v>15</v>
      </c>
      <c r="D11" s="2" t="s">
        <v>7</v>
      </c>
      <c r="E11" s="3" t="s">
        <v>16</v>
      </c>
      <c r="F11" s="4">
        <v>800</v>
      </c>
      <c r="G11" s="2">
        <v>37</v>
      </c>
      <c r="K11" s="36" t="s">
        <v>71</v>
      </c>
      <c r="L11" s="38">
        <v>4400</v>
      </c>
    </row>
    <row r="12" spans="1:17" x14ac:dyDescent="0.25">
      <c r="B12" s="1">
        <v>5</v>
      </c>
      <c r="C12" s="2" t="s">
        <v>17</v>
      </c>
      <c r="D12" s="12" t="s">
        <v>18</v>
      </c>
      <c r="E12" s="3" t="s">
        <v>8</v>
      </c>
      <c r="F12" s="4">
        <v>600</v>
      </c>
      <c r="G12" s="2">
        <v>21</v>
      </c>
    </row>
    <row r="13" spans="1:17" x14ac:dyDescent="0.25">
      <c r="B13" s="1">
        <v>6</v>
      </c>
      <c r="C13" s="2" t="s">
        <v>19</v>
      </c>
      <c r="D13" s="2" t="s">
        <v>10</v>
      </c>
      <c r="E13" s="3" t="s">
        <v>14</v>
      </c>
      <c r="F13" s="4">
        <v>700</v>
      </c>
      <c r="G13" s="2">
        <v>47</v>
      </c>
    </row>
    <row r="14" spans="1:17" x14ac:dyDescent="0.25">
      <c r="B14" s="1">
        <v>7</v>
      </c>
      <c r="C14" s="2" t="s">
        <v>20</v>
      </c>
      <c r="D14" s="2" t="s">
        <v>13</v>
      </c>
      <c r="E14" s="3" t="s">
        <v>14</v>
      </c>
      <c r="F14" s="4">
        <v>2000</v>
      </c>
      <c r="G14" s="2">
        <v>23</v>
      </c>
    </row>
    <row r="15" spans="1:17" x14ac:dyDescent="0.25">
      <c r="B15" s="1">
        <v>8</v>
      </c>
      <c r="C15" s="2" t="s">
        <v>21</v>
      </c>
      <c r="D15" s="2" t="s">
        <v>7</v>
      </c>
      <c r="E15" s="3" t="s">
        <v>11</v>
      </c>
      <c r="F15" s="4">
        <v>2500</v>
      </c>
      <c r="G15" s="2">
        <v>45</v>
      </c>
    </row>
    <row r="16" spans="1:17" x14ac:dyDescent="0.25">
      <c r="B16" s="1">
        <v>9</v>
      </c>
      <c r="C16" s="2" t="s">
        <v>22</v>
      </c>
      <c r="D16" s="2" t="s">
        <v>10</v>
      </c>
      <c r="E16" s="3" t="s">
        <v>23</v>
      </c>
      <c r="F16" s="4">
        <v>400</v>
      </c>
      <c r="G16" s="2">
        <v>12</v>
      </c>
    </row>
    <row r="17" spans="2:12" x14ac:dyDescent="0.25">
      <c r="B17" s="1">
        <v>10</v>
      </c>
      <c r="C17" s="2" t="s">
        <v>24</v>
      </c>
      <c r="D17" s="2" t="s">
        <v>18</v>
      </c>
      <c r="E17" s="3" t="s">
        <v>23</v>
      </c>
      <c r="F17" s="4">
        <v>1800</v>
      </c>
      <c r="G17" s="2">
        <v>23</v>
      </c>
    </row>
    <row r="18" spans="2:12" x14ac:dyDescent="0.25">
      <c r="B18" s="1">
        <v>11</v>
      </c>
      <c r="C18" s="2" t="s">
        <v>25</v>
      </c>
      <c r="D18" s="2" t="s">
        <v>10</v>
      </c>
      <c r="E18" s="3" t="s">
        <v>8</v>
      </c>
      <c r="F18" s="4">
        <v>3000</v>
      </c>
      <c r="G18" s="2">
        <v>37</v>
      </c>
    </row>
    <row r="19" spans="2:12" x14ac:dyDescent="0.25">
      <c r="B19" s="1">
        <v>12</v>
      </c>
      <c r="C19" s="2" t="s">
        <v>26</v>
      </c>
      <c r="D19" s="2" t="s">
        <v>27</v>
      </c>
      <c r="E19" s="3" t="s">
        <v>11</v>
      </c>
      <c r="F19" s="4">
        <v>1500</v>
      </c>
      <c r="G19" s="2">
        <v>30</v>
      </c>
    </row>
    <row r="20" spans="2:12" x14ac:dyDescent="0.25">
      <c r="B20" s="1">
        <v>13</v>
      </c>
      <c r="C20" s="2" t="s">
        <v>28</v>
      </c>
      <c r="D20" s="2" t="s">
        <v>29</v>
      </c>
      <c r="E20" s="3" t="s">
        <v>14</v>
      </c>
      <c r="F20" s="4">
        <v>1900</v>
      </c>
      <c r="G20" s="2">
        <v>32</v>
      </c>
      <c r="K20" s="35" t="s">
        <v>73</v>
      </c>
      <c r="L20" s="38" t="s">
        <v>80</v>
      </c>
    </row>
    <row r="21" spans="2:12" x14ac:dyDescent="0.25">
      <c r="B21" s="1">
        <v>14</v>
      </c>
      <c r="C21" s="2" t="s">
        <v>19</v>
      </c>
      <c r="D21" s="2" t="s">
        <v>13</v>
      </c>
      <c r="E21" s="3" t="s">
        <v>23</v>
      </c>
      <c r="F21" s="4">
        <v>800</v>
      </c>
      <c r="G21" s="2">
        <v>23</v>
      </c>
      <c r="K21" s="36" t="s">
        <v>8</v>
      </c>
      <c r="L21" s="38">
        <v>1120</v>
      </c>
    </row>
    <row r="22" spans="2:12" x14ac:dyDescent="0.25">
      <c r="B22" s="1">
        <v>15</v>
      </c>
      <c r="C22" s="2" t="s">
        <v>30</v>
      </c>
      <c r="D22" s="2" t="s">
        <v>18</v>
      </c>
      <c r="E22" s="3" t="s">
        <v>8</v>
      </c>
      <c r="F22" s="4">
        <v>600</v>
      </c>
      <c r="G22" s="2">
        <v>29</v>
      </c>
      <c r="K22" s="36" t="s">
        <v>11</v>
      </c>
      <c r="L22" s="38">
        <v>1740</v>
      </c>
    </row>
    <row r="23" spans="2:12" x14ac:dyDescent="0.25">
      <c r="B23" s="1">
        <v>16</v>
      </c>
      <c r="C23" s="2" t="s">
        <v>31</v>
      </c>
      <c r="D23" s="2" t="s">
        <v>7</v>
      </c>
      <c r="E23" s="3" t="s">
        <v>11</v>
      </c>
      <c r="F23" s="4">
        <v>700</v>
      </c>
      <c r="G23" s="2">
        <v>46</v>
      </c>
      <c r="K23" s="36" t="s">
        <v>16</v>
      </c>
      <c r="L23" s="38">
        <v>800</v>
      </c>
    </row>
    <row r="24" spans="2:12" x14ac:dyDescent="0.25">
      <c r="B24" s="1">
        <v>17</v>
      </c>
      <c r="C24" s="2" t="s">
        <v>32</v>
      </c>
      <c r="D24" s="2" t="s">
        <v>10</v>
      </c>
      <c r="E24" s="3" t="s">
        <v>23</v>
      </c>
      <c r="F24" s="4">
        <v>5000</v>
      </c>
      <c r="G24" s="2">
        <v>35</v>
      </c>
      <c r="K24" s="36" t="s">
        <v>23</v>
      </c>
      <c r="L24" s="38">
        <v>1960</v>
      </c>
    </row>
    <row r="25" spans="2:12" x14ac:dyDescent="0.25">
      <c r="B25" s="1">
        <v>18</v>
      </c>
      <c r="C25" s="2" t="s">
        <v>33</v>
      </c>
      <c r="D25" s="2" t="s">
        <v>29</v>
      </c>
      <c r="E25" s="3" t="s">
        <v>11</v>
      </c>
      <c r="F25" s="4">
        <v>2500</v>
      </c>
      <c r="G25" s="2">
        <v>21</v>
      </c>
      <c r="K25" s="36" t="s">
        <v>14</v>
      </c>
      <c r="L25" s="38">
        <v>1650</v>
      </c>
    </row>
    <row r="26" spans="2:12" x14ac:dyDescent="0.25">
      <c r="B26" s="1">
        <v>19</v>
      </c>
      <c r="C26" s="2" t="s">
        <v>34</v>
      </c>
      <c r="D26" s="2" t="s">
        <v>27</v>
      </c>
      <c r="E26" s="3" t="s">
        <v>8</v>
      </c>
      <c r="F26" s="4">
        <v>400</v>
      </c>
      <c r="G26" s="2">
        <v>22</v>
      </c>
      <c r="K26" s="36" t="s">
        <v>71</v>
      </c>
      <c r="L26" s="38">
        <v>1575</v>
      </c>
    </row>
    <row r="27" spans="2:12" x14ac:dyDescent="0.25">
      <c r="B27" s="1">
        <v>20</v>
      </c>
      <c r="C27" s="2" t="s">
        <v>35</v>
      </c>
      <c r="D27" s="2" t="s">
        <v>7</v>
      </c>
      <c r="E27" s="3" t="s">
        <v>23</v>
      </c>
      <c r="F27" s="4">
        <v>1800</v>
      </c>
      <c r="G27" s="2">
        <v>35</v>
      </c>
    </row>
    <row r="33" spans="11:12" x14ac:dyDescent="0.25">
      <c r="K33" s="35" t="s">
        <v>5</v>
      </c>
      <c r="L33" t="s">
        <v>82</v>
      </c>
    </row>
    <row r="35" spans="11:12" x14ac:dyDescent="0.25">
      <c r="K35" s="35" t="s">
        <v>70</v>
      </c>
      <c r="L35" t="s">
        <v>81</v>
      </c>
    </row>
    <row r="36" spans="11:12" x14ac:dyDescent="0.25">
      <c r="K36" s="36" t="s">
        <v>8</v>
      </c>
      <c r="L36" s="37">
        <v>2</v>
      </c>
    </row>
    <row r="37" spans="11:12" x14ac:dyDescent="0.25">
      <c r="K37" s="36" t="s">
        <v>11</v>
      </c>
      <c r="L37" s="37">
        <v>4</v>
      </c>
    </row>
    <row r="38" spans="11:12" x14ac:dyDescent="0.25">
      <c r="K38" s="36" t="s">
        <v>16</v>
      </c>
      <c r="L38" s="37">
        <v>1</v>
      </c>
    </row>
    <row r="39" spans="11:12" x14ac:dyDescent="0.25">
      <c r="K39" s="36" t="s">
        <v>23</v>
      </c>
      <c r="L39" s="37">
        <v>2</v>
      </c>
    </row>
    <row r="40" spans="11:12" x14ac:dyDescent="0.25">
      <c r="K40" s="36" t="s">
        <v>14</v>
      </c>
      <c r="L40" s="37">
        <v>3</v>
      </c>
    </row>
    <row r="41" spans="11:12" x14ac:dyDescent="0.25">
      <c r="K41" s="36" t="s">
        <v>71</v>
      </c>
      <c r="L41" s="37">
        <v>12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E363-EC08-445B-B7A5-77866B4668B6}">
  <dimension ref="A1:AB91"/>
  <sheetViews>
    <sheetView topLeftCell="D40" workbookViewId="0">
      <selection activeCell="O30" sqref="O30"/>
    </sheetView>
  </sheetViews>
  <sheetFormatPr baseColWidth="10" defaultRowHeight="15" x14ac:dyDescent="0.25"/>
  <cols>
    <col min="2" max="2" width="13.5703125" customWidth="1"/>
    <col min="3" max="3" width="13.140625" customWidth="1"/>
    <col min="7" max="7" width="14.5703125" customWidth="1"/>
    <col min="10" max="10" width="17.5703125" bestFit="1" customWidth="1"/>
    <col min="11" max="11" width="15" bestFit="1" customWidth="1"/>
    <col min="12" max="12" width="6.7109375" bestFit="1" customWidth="1"/>
    <col min="13" max="13" width="6.140625" bestFit="1" customWidth="1"/>
    <col min="14" max="14" width="17.5703125" bestFit="1" customWidth="1"/>
    <col min="15" max="16" width="17" bestFit="1" customWidth="1"/>
    <col min="17" max="27" width="11.42578125" bestFit="1" customWidth="1"/>
    <col min="28" max="28" width="12.5703125" bestFit="1" customWidth="1"/>
    <col min="29" max="32" width="11.42578125" bestFit="1" customWidth="1"/>
    <col min="33" max="33" width="11.5703125" bestFit="1" customWidth="1"/>
    <col min="34" max="39" width="11" bestFit="1" customWidth="1"/>
    <col min="40" max="47" width="13.7109375" bestFit="1" customWidth="1"/>
    <col min="48" max="48" width="16.85546875" bestFit="1" customWidth="1"/>
    <col min="49" max="54" width="10.140625" bestFit="1" customWidth="1"/>
    <col min="55" max="55" width="11.5703125" bestFit="1" customWidth="1"/>
    <col min="56" max="56" width="12.5703125" bestFit="1" customWidth="1"/>
    <col min="57" max="57" width="6.7109375" bestFit="1" customWidth="1"/>
    <col min="58" max="58" width="15" bestFit="1" customWidth="1"/>
    <col min="59" max="59" width="13.28515625" bestFit="1" customWidth="1"/>
    <col min="60" max="60" width="6.7109375" bestFit="1" customWidth="1"/>
    <col min="61" max="61" width="11.85546875" bestFit="1" customWidth="1"/>
    <col min="62" max="62" width="16.42578125" bestFit="1" customWidth="1"/>
    <col min="63" max="63" width="12.5703125" bestFit="1" customWidth="1"/>
  </cols>
  <sheetData>
    <row r="1" spans="1:1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9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9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9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7" spans="1:19" ht="18.75" customHeight="1" x14ac:dyDescent="0.3">
      <c r="B7" s="22" t="s">
        <v>39</v>
      </c>
      <c r="C7" s="22" t="s">
        <v>40</v>
      </c>
      <c r="D7" s="22" t="s">
        <v>41</v>
      </c>
      <c r="E7" s="22" t="s">
        <v>42</v>
      </c>
      <c r="F7" s="22" t="s">
        <v>43</v>
      </c>
      <c r="G7" s="22" t="s">
        <v>44</v>
      </c>
      <c r="J7" s="32" t="s">
        <v>102</v>
      </c>
      <c r="K7" s="32"/>
      <c r="L7" s="32"/>
      <c r="M7" s="32"/>
      <c r="N7" s="32"/>
      <c r="O7" s="32"/>
      <c r="P7" s="32"/>
      <c r="Q7" s="32"/>
      <c r="R7" s="32"/>
      <c r="S7" s="32"/>
    </row>
    <row r="8" spans="1:19" x14ac:dyDescent="0.25">
      <c r="B8" s="19" t="s">
        <v>45</v>
      </c>
      <c r="C8" s="19">
        <v>8</v>
      </c>
      <c r="D8" s="19">
        <v>21</v>
      </c>
      <c r="E8" s="20">
        <f>C8*D8</f>
        <v>168</v>
      </c>
      <c r="F8" s="19" t="s">
        <v>46</v>
      </c>
      <c r="G8" s="21" t="s">
        <v>63</v>
      </c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x14ac:dyDescent="0.25">
      <c r="B9" s="19" t="s">
        <v>47</v>
      </c>
      <c r="C9" s="19">
        <v>14</v>
      </c>
      <c r="D9" s="19">
        <v>19</v>
      </c>
      <c r="E9" s="20">
        <f t="shared" ref="E9:E64" si="0">C9*D9</f>
        <v>266</v>
      </c>
      <c r="F9" s="19" t="s">
        <v>48</v>
      </c>
      <c r="G9" s="21" t="s">
        <v>64</v>
      </c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x14ac:dyDescent="0.25">
      <c r="B10" s="19" t="s">
        <v>49</v>
      </c>
      <c r="C10" s="19">
        <v>13</v>
      </c>
      <c r="D10" s="19">
        <v>43</v>
      </c>
      <c r="E10" s="20">
        <f t="shared" si="0"/>
        <v>559</v>
      </c>
      <c r="F10" s="19" t="s">
        <v>50</v>
      </c>
      <c r="G10" s="21" t="s">
        <v>51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x14ac:dyDescent="0.25">
      <c r="B11" s="19" t="s">
        <v>52</v>
      </c>
      <c r="C11" s="19">
        <v>8</v>
      </c>
      <c r="D11" s="19">
        <v>13</v>
      </c>
      <c r="E11" s="20">
        <f t="shared" si="0"/>
        <v>104</v>
      </c>
      <c r="F11" s="19" t="s">
        <v>53</v>
      </c>
      <c r="G11" s="21" t="s">
        <v>65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x14ac:dyDescent="0.25">
      <c r="B12" s="19" t="s">
        <v>54</v>
      </c>
      <c r="C12" s="19">
        <v>16</v>
      </c>
      <c r="D12" s="19">
        <v>42</v>
      </c>
      <c r="E12" s="20">
        <f t="shared" si="0"/>
        <v>672</v>
      </c>
      <c r="F12" s="19" t="s">
        <v>55</v>
      </c>
      <c r="G12" s="21" t="s">
        <v>63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x14ac:dyDescent="0.25">
      <c r="B13" s="19" t="s">
        <v>45</v>
      </c>
      <c r="C13" s="19">
        <v>6</v>
      </c>
      <c r="D13" s="19">
        <v>10</v>
      </c>
      <c r="E13" s="20">
        <f t="shared" si="0"/>
        <v>60</v>
      </c>
      <c r="F13" s="19" t="s">
        <v>56</v>
      </c>
      <c r="G13" s="21" t="s">
        <v>64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x14ac:dyDescent="0.25">
      <c r="B14" s="19" t="s">
        <v>49</v>
      </c>
      <c r="C14" s="19">
        <v>19</v>
      </c>
      <c r="D14" s="19">
        <v>37</v>
      </c>
      <c r="E14" s="20">
        <f t="shared" si="0"/>
        <v>703</v>
      </c>
      <c r="F14" s="19" t="s">
        <v>57</v>
      </c>
      <c r="G14" s="21" t="s">
        <v>51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x14ac:dyDescent="0.25">
      <c r="B15" s="19" t="s">
        <v>47</v>
      </c>
      <c r="C15" s="19">
        <v>5</v>
      </c>
      <c r="D15" s="19">
        <v>26</v>
      </c>
      <c r="E15" s="20">
        <f t="shared" si="0"/>
        <v>130</v>
      </c>
      <c r="F15" s="19" t="s">
        <v>58</v>
      </c>
      <c r="G15" s="21" t="s">
        <v>65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x14ac:dyDescent="0.25">
      <c r="B16" s="19" t="s">
        <v>47</v>
      </c>
      <c r="C16" s="19">
        <v>7</v>
      </c>
      <c r="D16" s="19">
        <v>11</v>
      </c>
      <c r="E16" s="20">
        <f t="shared" si="0"/>
        <v>77</v>
      </c>
      <c r="F16" s="19" t="s">
        <v>59</v>
      </c>
      <c r="G16" s="21" t="s">
        <v>63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2:28" x14ac:dyDescent="0.25">
      <c r="B17" s="19" t="s">
        <v>45</v>
      </c>
      <c r="C17" s="19">
        <v>20</v>
      </c>
      <c r="D17" s="19">
        <v>10</v>
      </c>
      <c r="E17" s="20">
        <f t="shared" si="0"/>
        <v>200</v>
      </c>
      <c r="F17" s="19" t="s">
        <v>60</v>
      </c>
      <c r="G17" s="21" t="s">
        <v>64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2:28" x14ac:dyDescent="0.25">
      <c r="B18" s="19" t="s">
        <v>52</v>
      </c>
      <c r="C18" s="19">
        <v>9</v>
      </c>
      <c r="D18" s="19">
        <v>42</v>
      </c>
      <c r="E18" s="20">
        <f t="shared" si="0"/>
        <v>378</v>
      </c>
      <c r="F18" s="19" t="s">
        <v>61</v>
      </c>
      <c r="G18" s="21" t="s">
        <v>51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2:28" x14ac:dyDescent="0.25">
      <c r="B19" s="19" t="s">
        <v>49</v>
      </c>
      <c r="C19" s="19">
        <v>7</v>
      </c>
      <c r="D19" s="19">
        <v>27</v>
      </c>
      <c r="E19" s="20">
        <f t="shared" si="0"/>
        <v>189</v>
      </c>
      <c r="F19" s="19" t="s">
        <v>62</v>
      </c>
      <c r="G19" s="21" t="s">
        <v>65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2:28" x14ac:dyDescent="0.25">
      <c r="B20" s="19" t="s">
        <v>45</v>
      </c>
      <c r="C20" s="19">
        <v>9</v>
      </c>
      <c r="D20" s="19">
        <v>42</v>
      </c>
      <c r="E20" s="20">
        <f t="shared" si="0"/>
        <v>378</v>
      </c>
      <c r="F20" s="19" t="s">
        <v>46</v>
      </c>
      <c r="G20" s="21" t="s">
        <v>63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2:28" x14ac:dyDescent="0.25">
      <c r="B21" s="19" t="s">
        <v>47</v>
      </c>
      <c r="C21" s="19">
        <v>17</v>
      </c>
      <c r="D21" s="19">
        <v>16</v>
      </c>
      <c r="E21" s="20">
        <f t="shared" si="0"/>
        <v>272</v>
      </c>
      <c r="F21" s="19" t="s">
        <v>48</v>
      </c>
      <c r="G21" s="21" t="s">
        <v>64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2:28" x14ac:dyDescent="0.25">
      <c r="B22" s="19" t="s">
        <v>45</v>
      </c>
      <c r="C22" s="19">
        <v>17</v>
      </c>
      <c r="D22" s="19">
        <v>29</v>
      </c>
      <c r="E22" s="20">
        <f t="shared" si="0"/>
        <v>493</v>
      </c>
      <c r="F22" s="19" t="s">
        <v>50</v>
      </c>
      <c r="G22" s="21" t="s">
        <v>51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2:28" x14ac:dyDescent="0.25">
      <c r="B23" s="19" t="s">
        <v>52</v>
      </c>
      <c r="C23" s="19">
        <v>5</v>
      </c>
      <c r="D23" s="19">
        <v>20</v>
      </c>
      <c r="E23" s="20">
        <f t="shared" si="0"/>
        <v>100</v>
      </c>
      <c r="F23" s="19" t="s">
        <v>53</v>
      </c>
      <c r="G23" s="21" t="s">
        <v>65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2:28" x14ac:dyDescent="0.25">
      <c r="B24" s="19" t="s">
        <v>45</v>
      </c>
      <c r="C24" s="19">
        <v>14</v>
      </c>
      <c r="D24" s="19">
        <v>36</v>
      </c>
      <c r="E24" s="20">
        <f t="shared" si="0"/>
        <v>504</v>
      </c>
      <c r="F24" s="19" t="s">
        <v>55</v>
      </c>
      <c r="G24" s="21" t="s">
        <v>63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spans="2:28" x14ac:dyDescent="0.25">
      <c r="B25" s="19" t="s">
        <v>47</v>
      </c>
      <c r="C25" s="19">
        <v>5</v>
      </c>
      <c r="D25" s="19">
        <v>35</v>
      </c>
      <c r="E25" s="20">
        <f t="shared" si="0"/>
        <v>175</v>
      </c>
      <c r="F25" s="19" t="s">
        <v>56</v>
      </c>
      <c r="G25" s="21" t="s">
        <v>64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2:28" x14ac:dyDescent="0.25">
      <c r="B26" s="19" t="s">
        <v>49</v>
      </c>
      <c r="C26" s="19">
        <v>6</v>
      </c>
      <c r="D26" s="19">
        <v>16</v>
      </c>
      <c r="E26" s="20">
        <f t="shared" si="0"/>
        <v>96</v>
      </c>
      <c r="F26" s="19" t="s">
        <v>57</v>
      </c>
      <c r="G26" s="21" t="s">
        <v>51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2:28" x14ac:dyDescent="0.25">
      <c r="B27" s="19" t="s">
        <v>45</v>
      </c>
      <c r="C27" s="19">
        <v>10</v>
      </c>
      <c r="D27" s="19">
        <v>43</v>
      </c>
      <c r="E27" s="20">
        <f t="shared" si="0"/>
        <v>430</v>
      </c>
      <c r="F27" s="19" t="s">
        <v>58</v>
      </c>
      <c r="G27" s="21" t="s">
        <v>65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2:28" x14ac:dyDescent="0.25">
      <c r="B28" s="19" t="s">
        <v>45</v>
      </c>
      <c r="C28" s="19">
        <v>14</v>
      </c>
      <c r="D28" s="19">
        <v>45</v>
      </c>
      <c r="E28" s="20">
        <f t="shared" si="0"/>
        <v>630</v>
      </c>
      <c r="F28" s="19" t="s">
        <v>59</v>
      </c>
      <c r="G28" s="21" t="s">
        <v>63</v>
      </c>
      <c r="J28" s="42" t="s">
        <v>75</v>
      </c>
      <c r="K28" s="40"/>
      <c r="T28" s="40" t="s">
        <v>77</v>
      </c>
      <c r="U28" s="40"/>
      <c r="V28" s="40"/>
    </row>
    <row r="29" spans="2:28" x14ac:dyDescent="0.25">
      <c r="B29" s="19" t="s">
        <v>49</v>
      </c>
      <c r="C29" s="19">
        <v>11</v>
      </c>
      <c r="D29" s="19">
        <v>31</v>
      </c>
      <c r="E29" s="20">
        <f t="shared" si="0"/>
        <v>341</v>
      </c>
      <c r="F29" s="19" t="s">
        <v>60</v>
      </c>
      <c r="G29" s="21" t="s">
        <v>64</v>
      </c>
    </row>
    <row r="30" spans="2:28" x14ac:dyDescent="0.25">
      <c r="B30" s="19" t="s">
        <v>54</v>
      </c>
      <c r="C30" s="19">
        <v>11</v>
      </c>
      <c r="D30" s="19">
        <v>20</v>
      </c>
      <c r="E30" s="20">
        <f t="shared" si="0"/>
        <v>220</v>
      </c>
      <c r="F30" s="19" t="s">
        <v>61</v>
      </c>
      <c r="G30" s="21" t="s">
        <v>51</v>
      </c>
      <c r="J30" s="35" t="s">
        <v>70</v>
      </c>
      <c r="K30" t="s">
        <v>83</v>
      </c>
      <c r="N30" s="35" t="s">
        <v>96</v>
      </c>
      <c r="P30" s="35" t="s">
        <v>43</v>
      </c>
    </row>
    <row r="31" spans="2:28" x14ac:dyDescent="0.25">
      <c r="B31" s="19" t="s">
        <v>45</v>
      </c>
      <c r="C31" s="19">
        <v>18</v>
      </c>
      <c r="D31" s="19">
        <v>35</v>
      </c>
      <c r="E31" s="20">
        <f t="shared" si="0"/>
        <v>630</v>
      </c>
      <c r="F31" s="19" t="s">
        <v>62</v>
      </c>
      <c r="G31" s="21" t="s">
        <v>65</v>
      </c>
      <c r="J31" s="36" t="s">
        <v>46</v>
      </c>
      <c r="K31" s="37"/>
      <c r="N31" s="35" t="s">
        <v>44</v>
      </c>
      <c r="O31" s="35" t="s">
        <v>39</v>
      </c>
      <c r="P31" t="s">
        <v>46</v>
      </c>
      <c r="Q31" t="s">
        <v>48</v>
      </c>
      <c r="R31" t="s">
        <v>50</v>
      </c>
      <c r="S31" t="s">
        <v>53</v>
      </c>
      <c r="T31" t="s">
        <v>55</v>
      </c>
      <c r="U31" t="s">
        <v>56</v>
      </c>
      <c r="V31" t="s">
        <v>57</v>
      </c>
      <c r="W31" t="s">
        <v>58</v>
      </c>
      <c r="X31" t="s">
        <v>60</v>
      </c>
      <c r="Y31" t="s">
        <v>61</v>
      </c>
      <c r="Z31" t="s">
        <v>62</v>
      </c>
      <c r="AA31" t="s">
        <v>59</v>
      </c>
      <c r="AB31" t="s">
        <v>71</v>
      </c>
    </row>
    <row r="32" spans="2:28" x14ac:dyDescent="0.25">
      <c r="B32" s="19" t="s">
        <v>54</v>
      </c>
      <c r="C32" s="19">
        <v>20</v>
      </c>
      <c r="D32" s="19">
        <v>30</v>
      </c>
      <c r="E32" s="20">
        <f t="shared" si="0"/>
        <v>600</v>
      </c>
      <c r="F32" s="19" t="s">
        <v>46</v>
      </c>
      <c r="G32" s="21" t="s">
        <v>63</v>
      </c>
      <c r="J32" s="41" t="s">
        <v>45</v>
      </c>
      <c r="K32" s="37">
        <v>546</v>
      </c>
      <c r="N32" t="s">
        <v>63</v>
      </c>
      <c r="O32" t="s">
        <v>45</v>
      </c>
      <c r="P32" s="37">
        <v>17</v>
      </c>
      <c r="Q32" s="37"/>
      <c r="R32" s="37"/>
      <c r="S32" s="37"/>
      <c r="T32" s="37">
        <v>62</v>
      </c>
      <c r="U32" s="37"/>
      <c r="V32" s="37"/>
      <c r="W32" s="37"/>
      <c r="X32" s="37"/>
      <c r="Y32" s="37"/>
      <c r="Z32" s="37"/>
      <c r="AA32" s="37">
        <v>24</v>
      </c>
      <c r="AB32" s="37">
        <v>103</v>
      </c>
    </row>
    <row r="33" spans="2:28" x14ac:dyDescent="0.25">
      <c r="B33" s="19" t="s">
        <v>52</v>
      </c>
      <c r="C33" s="19">
        <v>13</v>
      </c>
      <c r="D33" s="19">
        <v>27</v>
      </c>
      <c r="E33" s="20">
        <f t="shared" si="0"/>
        <v>351</v>
      </c>
      <c r="F33" s="19" t="s">
        <v>48</v>
      </c>
      <c r="G33" s="21" t="s">
        <v>64</v>
      </c>
      <c r="J33" s="41" t="s">
        <v>47</v>
      </c>
      <c r="K33" s="37">
        <v>374</v>
      </c>
      <c r="O33" t="s">
        <v>47</v>
      </c>
      <c r="P33" s="37">
        <v>17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>
        <v>24</v>
      </c>
      <c r="AB33" s="37">
        <v>41</v>
      </c>
    </row>
    <row r="34" spans="2:28" x14ac:dyDescent="0.25">
      <c r="B34" s="19" t="s">
        <v>45</v>
      </c>
      <c r="C34" s="19">
        <v>5</v>
      </c>
      <c r="D34" s="19">
        <v>39</v>
      </c>
      <c r="E34" s="20">
        <f t="shared" si="0"/>
        <v>195</v>
      </c>
      <c r="F34" s="19" t="s">
        <v>50</v>
      </c>
      <c r="G34" s="21" t="s">
        <v>51</v>
      </c>
      <c r="J34" s="41" t="s">
        <v>52</v>
      </c>
      <c r="K34" s="37">
        <v>340</v>
      </c>
      <c r="O34" t="s">
        <v>52</v>
      </c>
      <c r="P34" s="37">
        <v>20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>
        <v>20</v>
      </c>
    </row>
    <row r="35" spans="2:28" x14ac:dyDescent="0.25">
      <c r="B35" s="19" t="s">
        <v>47</v>
      </c>
      <c r="C35" s="19">
        <v>13</v>
      </c>
      <c r="D35" s="19">
        <v>32</v>
      </c>
      <c r="E35" s="20">
        <f t="shared" si="0"/>
        <v>416</v>
      </c>
      <c r="F35" s="19" t="s">
        <v>53</v>
      </c>
      <c r="G35" s="21" t="s">
        <v>65</v>
      </c>
      <c r="J35" s="41" t="s">
        <v>54</v>
      </c>
      <c r="K35" s="37">
        <v>600</v>
      </c>
      <c r="O35" t="s">
        <v>54</v>
      </c>
      <c r="P35" s="37">
        <v>20</v>
      </c>
      <c r="Q35" s="37"/>
      <c r="R35" s="37"/>
      <c r="S35" s="37"/>
      <c r="T35" s="37">
        <v>16</v>
      </c>
      <c r="U35" s="37"/>
      <c r="V35" s="37"/>
      <c r="W35" s="37"/>
      <c r="X35" s="37"/>
      <c r="Y35" s="37"/>
      <c r="Z35" s="37"/>
      <c r="AA35" s="37">
        <v>17</v>
      </c>
      <c r="AB35" s="37">
        <v>53</v>
      </c>
    </row>
    <row r="36" spans="2:28" x14ac:dyDescent="0.25">
      <c r="B36" s="19" t="s">
        <v>45</v>
      </c>
      <c r="C36" s="19">
        <v>16</v>
      </c>
      <c r="D36" s="19">
        <v>39</v>
      </c>
      <c r="E36" s="20">
        <f t="shared" si="0"/>
        <v>624</v>
      </c>
      <c r="F36" s="19" t="s">
        <v>55</v>
      </c>
      <c r="G36" s="21" t="s">
        <v>63</v>
      </c>
      <c r="J36" s="36" t="s">
        <v>84</v>
      </c>
      <c r="K36" s="37">
        <v>1860</v>
      </c>
      <c r="N36" t="s">
        <v>97</v>
      </c>
      <c r="P36" s="37">
        <v>74</v>
      </c>
      <c r="Q36" s="37"/>
      <c r="R36" s="37"/>
      <c r="S36" s="37"/>
      <c r="T36" s="37">
        <v>78</v>
      </c>
      <c r="U36" s="37"/>
      <c r="V36" s="37"/>
      <c r="W36" s="37"/>
      <c r="X36" s="37"/>
      <c r="Y36" s="37"/>
      <c r="Z36" s="37"/>
      <c r="AA36" s="37">
        <v>65</v>
      </c>
      <c r="AB36" s="37">
        <v>217</v>
      </c>
    </row>
    <row r="37" spans="2:28" x14ac:dyDescent="0.25">
      <c r="B37" s="19" t="s">
        <v>47</v>
      </c>
      <c r="C37" s="19">
        <v>9</v>
      </c>
      <c r="D37" s="19">
        <v>37</v>
      </c>
      <c r="E37" s="20">
        <f t="shared" si="0"/>
        <v>333</v>
      </c>
      <c r="F37" s="19" t="s">
        <v>56</v>
      </c>
      <c r="G37" s="21" t="s">
        <v>64</v>
      </c>
      <c r="J37" s="36" t="s">
        <v>48</v>
      </c>
      <c r="K37" s="37"/>
      <c r="N37" t="s">
        <v>65</v>
      </c>
      <c r="O37" t="s">
        <v>45</v>
      </c>
      <c r="P37" s="37"/>
      <c r="Q37" s="37"/>
      <c r="R37" s="37"/>
      <c r="S37" s="37"/>
      <c r="T37" s="37"/>
      <c r="U37" s="37"/>
      <c r="V37" s="37"/>
      <c r="W37" s="37">
        <v>10</v>
      </c>
      <c r="X37" s="37"/>
      <c r="Y37" s="37"/>
      <c r="Z37" s="37">
        <v>36</v>
      </c>
      <c r="AA37" s="37"/>
      <c r="AB37" s="37">
        <v>46</v>
      </c>
    </row>
    <row r="38" spans="2:28" x14ac:dyDescent="0.25">
      <c r="B38" s="19" t="s">
        <v>45</v>
      </c>
      <c r="C38" s="19">
        <v>11</v>
      </c>
      <c r="D38" s="19">
        <v>29</v>
      </c>
      <c r="E38" s="20">
        <f t="shared" si="0"/>
        <v>319</v>
      </c>
      <c r="F38" s="19" t="s">
        <v>57</v>
      </c>
      <c r="G38" s="21" t="s">
        <v>51</v>
      </c>
      <c r="J38" s="41" t="s">
        <v>45</v>
      </c>
      <c r="K38" s="37">
        <v>182</v>
      </c>
      <c r="O38" t="s">
        <v>47</v>
      </c>
      <c r="P38" s="37"/>
      <c r="Q38" s="37"/>
      <c r="R38" s="37"/>
      <c r="S38" s="37">
        <v>13</v>
      </c>
      <c r="T38" s="37"/>
      <c r="U38" s="37"/>
      <c r="V38" s="37"/>
      <c r="W38" s="37">
        <v>10</v>
      </c>
      <c r="X38" s="37"/>
      <c r="Y38" s="37"/>
      <c r="Z38" s="37"/>
      <c r="AA38" s="37"/>
      <c r="AB38" s="37">
        <v>23</v>
      </c>
    </row>
    <row r="39" spans="2:28" x14ac:dyDescent="0.25">
      <c r="B39" s="19" t="s">
        <v>47</v>
      </c>
      <c r="C39" s="19">
        <v>5</v>
      </c>
      <c r="D39" s="19">
        <v>41</v>
      </c>
      <c r="E39" s="20">
        <f t="shared" si="0"/>
        <v>205</v>
      </c>
      <c r="F39" s="19" t="s">
        <v>58</v>
      </c>
      <c r="G39" s="21" t="s">
        <v>65</v>
      </c>
      <c r="J39" s="41" t="s">
        <v>47</v>
      </c>
      <c r="K39" s="37">
        <v>986</v>
      </c>
      <c r="O39" t="s">
        <v>52</v>
      </c>
      <c r="P39" s="37"/>
      <c r="Q39" s="37"/>
      <c r="R39" s="37"/>
      <c r="S39" s="37">
        <v>13</v>
      </c>
      <c r="T39" s="37"/>
      <c r="U39" s="37"/>
      <c r="V39" s="37"/>
      <c r="W39" s="37"/>
      <c r="X39" s="37"/>
      <c r="Y39" s="37"/>
      <c r="Z39" s="37"/>
      <c r="AA39" s="37"/>
      <c r="AB39" s="37">
        <v>13</v>
      </c>
    </row>
    <row r="40" spans="2:28" x14ac:dyDescent="0.25">
      <c r="B40" s="19" t="s">
        <v>47</v>
      </c>
      <c r="C40" s="19">
        <v>17</v>
      </c>
      <c r="D40" s="19">
        <v>29</v>
      </c>
      <c r="E40" s="20">
        <f t="shared" si="0"/>
        <v>493</v>
      </c>
      <c r="F40" s="19" t="s">
        <v>59</v>
      </c>
      <c r="G40" s="21" t="s">
        <v>63</v>
      </c>
      <c r="J40" s="41" t="s">
        <v>52</v>
      </c>
      <c r="K40" s="37">
        <v>351</v>
      </c>
      <c r="O40" t="s">
        <v>54</v>
      </c>
      <c r="P40" s="37"/>
      <c r="Q40" s="37"/>
      <c r="R40" s="37"/>
      <c r="S40" s="37">
        <v>17</v>
      </c>
      <c r="T40" s="37"/>
      <c r="U40" s="37"/>
      <c r="V40" s="37"/>
      <c r="W40" s="37">
        <v>6</v>
      </c>
      <c r="X40" s="37"/>
      <c r="Y40" s="37"/>
      <c r="Z40" s="37"/>
      <c r="AA40" s="37"/>
      <c r="AB40" s="37">
        <v>23</v>
      </c>
    </row>
    <row r="41" spans="2:28" x14ac:dyDescent="0.25">
      <c r="B41" s="19" t="s">
        <v>49</v>
      </c>
      <c r="C41" s="19">
        <v>9</v>
      </c>
      <c r="D41" s="19">
        <v>41</v>
      </c>
      <c r="E41" s="20">
        <f t="shared" si="0"/>
        <v>369</v>
      </c>
      <c r="F41" s="19" t="s">
        <v>60</v>
      </c>
      <c r="G41" s="21" t="s">
        <v>64</v>
      </c>
      <c r="J41" s="36" t="s">
        <v>85</v>
      </c>
      <c r="K41" s="37">
        <v>1519</v>
      </c>
      <c r="O41" t="s">
        <v>49</v>
      </c>
      <c r="P41" s="37"/>
      <c r="Q41" s="37"/>
      <c r="R41" s="37"/>
      <c r="S41" s="37">
        <v>20</v>
      </c>
      <c r="T41" s="37"/>
      <c r="U41" s="37"/>
      <c r="V41" s="37"/>
      <c r="W41" s="37">
        <v>16</v>
      </c>
      <c r="X41" s="37"/>
      <c r="Y41" s="37"/>
      <c r="Z41" s="37">
        <v>14</v>
      </c>
      <c r="AA41" s="37"/>
      <c r="AB41" s="37">
        <v>50</v>
      </c>
    </row>
    <row r="42" spans="2:28" x14ac:dyDescent="0.25">
      <c r="B42" s="19" t="s">
        <v>45</v>
      </c>
      <c r="C42" s="19">
        <v>10</v>
      </c>
      <c r="D42" s="19">
        <v>25</v>
      </c>
      <c r="E42" s="20">
        <f t="shared" si="0"/>
        <v>250</v>
      </c>
      <c r="F42" s="19" t="s">
        <v>61</v>
      </c>
      <c r="G42" s="21" t="s">
        <v>51</v>
      </c>
      <c r="J42" s="36" t="s">
        <v>50</v>
      </c>
      <c r="K42" s="37"/>
      <c r="N42" t="s">
        <v>98</v>
      </c>
      <c r="P42" s="37"/>
      <c r="Q42" s="37"/>
      <c r="R42" s="37"/>
      <c r="S42" s="37">
        <v>63</v>
      </c>
      <c r="T42" s="37"/>
      <c r="U42" s="37"/>
      <c r="V42" s="37"/>
      <c r="W42" s="37">
        <v>42</v>
      </c>
      <c r="X42" s="37"/>
      <c r="Y42" s="37"/>
      <c r="Z42" s="37">
        <v>50</v>
      </c>
      <c r="AA42" s="37"/>
      <c r="AB42" s="37">
        <v>155</v>
      </c>
    </row>
    <row r="43" spans="2:28" x14ac:dyDescent="0.25">
      <c r="B43" s="19" t="s">
        <v>49</v>
      </c>
      <c r="C43" s="19">
        <v>7</v>
      </c>
      <c r="D43" s="19">
        <v>27</v>
      </c>
      <c r="E43" s="20">
        <f t="shared" si="0"/>
        <v>189</v>
      </c>
      <c r="F43" s="19" t="s">
        <v>62</v>
      </c>
      <c r="G43" s="21" t="s">
        <v>65</v>
      </c>
      <c r="J43" s="41" t="s">
        <v>45</v>
      </c>
      <c r="K43" s="37">
        <v>778</v>
      </c>
      <c r="N43" t="s">
        <v>51</v>
      </c>
      <c r="O43" t="s">
        <v>45</v>
      </c>
      <c r="P43" s="37"/>
      <c r="Q43" s="37"/>
      <c r="R43" s="37">
        <v>31</v>
      </c>
      <c r="S43" s="37"/>
      <c r="T43" s="37"/>
      <c r="U43" s="37"/>
      <c r="V43" s="37">
        <v>28</v>
      </c>
      <c r="W43" s="37"/>
      <c r="X43" s="37"/>
      <c r="Y43" s="37">
        <v>26</v>
      </c>
      <c r="Z43" s="37"/>
      <c r="AA43" s="37"/>
      <c r="AB43" s="37">
        <v>85</v>
      </c>
    </row>
    <row r="44" spans="2:28" x14ac:dyDescent="0.25">
      <c r="B44" s="19" t="s">
        <v>52</v>
      </c>
      <c r="C44" s="19">
        <v>20</v>
      </c>
      <c r="D44" s="19">
        <v>17</v>
      </c>
      <c r="E44" s="20">
        <f t="shared" si="0"/>
        <v>340</v>
      </c>
      <c r="F44" s="19" t="s">
        <v>46</v>
      </c>
      <c r="G44" s="21" t="s">
        <v>63</v>
      </c>
      <c r="J44" s="41" t="s">
        <v>54</v>
      </c>
      <c r="K44" s="37">
        <v>352</v>
      </c>
      <c r="O44" t="s">
        <v>52</v>
      </c>
      <c r="P44" s="37"/>
      <c r="Q44" s="37"/>
      <c r="R44" s="37"/>
      <c r="S44" s="37"/>
      <c r="T44" s="37"/>
      <c r="U44" s="37"/>
      <c r="V44" s="37">
        <v>8</v>
      </c>
      <c r="W44" s="37"/>
      <c r="X44" s="37"/>
      <c r="Y44" s="37">
        <v>9</v>
      </c>
      <c r="Z44" s="37"/>
      <c r="AA44" s="37"/>
      <c r="AB44" s="37">
        <v>17</v>
      </c>
    </row>
    <row r="45" spans="2:28" x14ac:dyDescent="0.25">
      <c r="B45" s="19" t="s">
        <v>45</v>
      </c>
      <c r="C45" s="19">
        <v>13</v>
      </c>
      <c r="D45" s="19">
        <v>14</v>
      </c>
      <c r="E45" s="20">
        <f t="shared" si="0"/>
        <v>182</v>
      </c>
      <c r="F45" s="19" t="s">
        <v>48</v>
      </c>
      <c r="G45" s="21" t="s">
        <v>64</v>
      </c>
      <c r="J45" s="41" t="s">
        <v>49</v>
      </c>
      <c r="K45" s="37">
        <v>559</v>
      </c>
      <c r="O45" t="s">
        <v>54</v>
      </c>
      <c r="P45" s="37"/>
      <c r="Q45" s="37"/>
      <c r="R45" s="37">
        <v>8</v>
      </c>
      <c r="S45" s="37"/>
      <c r="T45" s="37"/>
      <c r="U45" s="37"/>
      <c r="V45" s="37"/>
      <c r="W45" s="37"/>
      <c r="X45" s="37"/>
      <c r="Y45" s="37">
        <v>11</v>
      </c>
      <c r="Z45" s="37"/>
      <c r="AA45" s="37"/>
      <c r="AB45" s="37">
        <v>19</v>
      </c>
    </row>
    <row r="46" spans="2:28" x14ac:dyDescent="0.25">
      <c r="B46" s="19" t="s">
        <v>54</v>
      </c>
      <c r="C46" s="19">
        <v>8</v>
      </c>
      <c r="D46" s="19">
        <v>44</v>
      </c>
      <c r="E46" s="20">
        <f t="shared" si="0"/>
        <v>352</v>
      </c>
      <c r="F46" s="19" t="s">
        <v>50</v>
      </c>
      <c r="G46" s="21" t="s">
        <v>51</v>
      </c>
      <c r="J46" s="36" t="s">
        <v>86</v>
      </c>
      <c r="K46" s="37">
        <v>1689</v>
      </c>
      <c r="O46" t="s">
        <v>49</v>
      </c>
      <c r="P46" s="37"/>
      <c r="Q46" s="37"/>
      <c r="R46" s="37">
        <v>13</v>
      </c>
      <c r="S46" s="37"/>
      <c r="T46" s="37"/>
      <c r="U46" s="37"/>
      <c r="V46" s="37">
        <v>25</v>
      </c>
      <c r="W46" s="37"/>
      <c r="X46" s="37"/>
      <c r="Y46" s="37"/>
      <c r="Z46" s="37"/>
      <c r="AA46" s="37"/>
      <c r="AB46" s="37">
        <v>38</v>
      </c>
    </row>
    <row r="47" spans="2:28" x14ac:dyDescent="0.25">
      <c r="B47" s="19" t="s">
        <v>54</v>
      </c>
      <c r="C47" s="19">
        <v>17</v>
      </c>
      <c r="D47" s="19">
        <v>23</v>
      </c>
      <c r="E47" s="20">
        <f t="shared" si="0"/>
        <v>391</v>
      </c>
      <c r="F47" s="19" t="s">
        <v>53</v>
      </c>
      <c r="G47" s="21" t="s">
        <v>65</v>
      </c>
      <c r="J47" s="36" t="s">
        <v>53</v>
      </c>
      <c r="K47" s="37"/>
      <c r="N47" t="s">
        <v>99</v>
      </c>
      <c r="P47" s="37"/>
      <c r="Q47" s="37"/>
      <c r="R47" s="37">
        <v>52</v>
      </c>
      <c r="S47" s="37"/>
      <c r="T47" s="37"/>
      <c r="U47" s="37"/>
      <c r="V47" s="37">
        <v>61</v>
      </c>
      <c r="W47" s="37"/>
      <c r="X47" s="37"/>
      <c r="Y47" s="37">
        <v>46</v>
      </c>
      <c r="Z47" s="37"/>
      <c r="AA47" s="37"/>
      <c r="AB47" s="37">
        <v>159</v>
      </c>
    </row>
    <row r="48" spans="2:28" x14ac:dyDescent="0.25">
      <c r="B48" s="19" t="s">
        <v>45</v>
      </c>
      <c r="C48" s="19">
        <v>20</v>
      </c>
      <c r="D48" s="19">
        <v>30</v>
      </c>
      <c r="E48" s="20">
        <f t="shared" si="0"/>
        <v>600</v>
      </c>
      <c r="F48" s="19" t="s">
        <v>55</v>
      </c>
      <c r="G48" s="21" t="s">
        <v>63</v>
      </c>
      <c r="J48" s="41" t="s">
        <v>47</v>
      </c>
      <c r="K48" s="37">
        <v>416</v>
      </c>
      <c r="N48" t="s">
        <v>64</v>
      </c>
      <c r="O48" t="s">
        <v>45</v>
      </c>
      <c r="P48" s="37"/>
      <c r="Q48" s="37">
        <v>13</v>
      </c>
      <c r="R48" s="37"/>
      <c r="S48" s="37"/>
      <c r="T48" s="37"/>
      <c r="U48" s="37">
        <v>6</v>
      </c>
      <c r="V48" s="37"/>
      <c r="W48" s="37"/>
      <c r="X48" s="37">
        <v>20</v>
      </c>
      <c r="Y48" s="37"/>
      <c r="Z48" s="37"/>
      <c r="AA48" s="37"/>
      <c r="AB48" s="37">
        <v>39</v>
      </c>
    </row>
    <row r="49" spans="2:28" x14ac:dyDescent="0.25">
      <c r="B49" s="19" t="s">
        <v>54</v>
      </c>
      <c r="C49" s="19">
        <v>11</v>
      </c>
      <c r="D49" s="19">
        <v>19</v>
      </c>
      <c r="E49" s="20">
        <f t="shared" si="0"/>
        <v>209</v>
      </c>
      <c r="F49" s="19" t="s">
        <v>56</v>
      </c>
      <c r="G49" s="21" t="s">
        <v>64</v>
      </c>
      <c r="J49" s="41" t="s">
        <v>52</v>
      </c>
      <c r="K49" s="37">
        <v>204</v>
      </c>
      <c r="O49" t="s">
        <v>47</v>
      </c>
      <c r="P49" s="37"/>
      <c r="Q49" s="37">
        <v>45</v>
      </c>
      <c r="R49" s="37"/>
      <c r="S49" s="37"/>
      <c r="T49" s="37"/>
      <c r="U49" s="37">
        <v>14</v>
      </c>
      <c r="V49" s="37"/>
      <c r="W49" s="37"/>
      <c r="X49" s="37"/>
      <c r="Y49" s="37"/>
      <c r="Z49" s="37"/>
      <c r="AA49" s="37"/>
      <c r="AB49" s="37">
        <v>59</v>
      </c>
    </row>
    <row r="50" spans="2:28" x14ac:dyDescent="0.25">
      <c r="B50" s="19" t="s">
        <v>45</v>
      </c>
      <c r="C50" s="19">
        <v>17</v>
      </c>
      <c r="D50" s="19">
        <v>36</v>
      </c>
      <c r="E50" s="20">
        <f t="shared" si="0"/>
        <v>612</v>
      </c>
      <c r="F50" s="19" t="s">
        <v>57</v>
      </c>
      <c r="G50" s="21" t="s">
        <v>51</v>
      </c>
      <c r="J50" s="41" t="s">
        <v>54</v>
      </c>
      <c r="K50" s="37">
        <v>391</v>
      </c>
      <c r="O50" t="s">
        <v>52</v>
      </c>
      <c r="P50" s="37"/>
      <c r="Q50" s="37">
        <v>13</v>
      </c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>
        <v>13</v>
      </c>
    </row>
    <row r="51" spans="2:28" x14ac:dyDescent="0.25">
      <c r="B51" s="19" t="s">
        <v>49</v>
      </c>
      <c r="C51" s="19">
        <v>16</v>
      </c>
      <c r="D51" s="19">
        <v>24</v>
      </c>
      <c r="E51" s="20">
        <f t="shared" si="0"/>
        <v>384</v>
      </c>
      <c r="F51" s="19" t="s">
        <v>58</v>
      </c>
      <c r="G51" s="21" t="s">
        <v>65</v>
      </c>
      <c r="J51" s="41" t="s">
        <v>49</v>
      </c>
      <c r="K51" s="37">
        <v>640</v>
      </c>
      <c r="O51" t="s">
        <v>54</v>
      </c>
      <c r="P51" s="37"/>
      <c r="Q51" s="37"/>
      <c r="R51" s="37"/>
      <c r="S51" s="37"/>
      <c r="T51" s="37"/>
      <c r="U51" s="37">
        <v>27</v>
      </c>
      <c r="V51" s="37"/>
      <c r="W51" s="37"/>
      <c r="X51" s="37"/>
      <c r="Y51" s="37"/>
      <c r="Z51" s="37"/>
      <c r="AA51" s="37"/>
      <c r="AB51" s="37">
        <v>27</v>
      </c>
    </row>
    <row r="52" spans="2:28" x14ac:dyDescent="0.25">
      <c r="B52" s="19" t="s">
        <v>54</v>
      </c>
      <c r="C52" s="19">
        <v>17</v>
      </c>
      <c r="D52" s="19">
        <v>45</v>
      </c>
      <c r="E52" s="20">
        <f t="shared" si="0"/>
        <v>765</v>
      </c>
      <c r="F52" s="19" t="s">
        <v>59</v>
      </c>
      <c r="G52" s="21" t="s">
        <v>63</v>
      </c>
      <c r="J52" s="36" t="s">
        <v>87</v>
      </c>
      <c r="K52" s="37">
        <v>1651</v>
      </c>
      <c r="O52" t="s">
        <v>49</v>
      </c>
      <c r="P52" s="37"/>
      <c r="Q52" s="37"/>
      <c r="R52" s="37"/>
      <c r="S52" s="37"/>
      <c r="T52" s="37"/>
      <c r="U52" s="37"/>
      <c r="V52" s="37"/>
      <c r="W52" s="37"/>
      <c r="X52" s="37">
        <v>25</v>
      </c>
      <c r="Y52" s="37"/>
      <c r="Z52" s="37"/>
      <c r="AA52" s="37"/>
      <c r="AB52" s="37">
        <v>25</v>
      </c>
    </row>
    <row r="53" spans="2:28" x14ac:dyDescent="0.25">
      <c r="B53" s="19" t="s">
        <v>49</v>
      </c>
      <c r="C53" s="19">
        <v>5</v>
      </c>
      <c r="D53" s="19">
        <v>16</v>
      </c>
      <c r="E53" s="20">
        <f t="shared" si="0"/>
        <v>80</v>
      </c>
      <c r="F53" s="19" t="s">
        <v>60</v>
      </c>
      <c r="G53" s="21" t="s">
        <v>64</v>
      </c>
      <c r="J53" s="36" t="s">
        <v>55</v>
      </c>
      <c r="K53" s="37"/>
      <c r="N53" t="s">
        <v>100</v>
      </c>
      <c r="P53" s="37"/>
      <c r="Q53" s="37">
        <v>71</v>
      </c>
      <c r="R53" s="37"/>
      <c r="S53" s="37"/>
      <c r="T53" s="37"/>
      <c r="U53" s="37">
        <v>47</v>
      </c>
      <c r="V53" s="37"/>
      <c r="W53" s="37"/>
      <c r="X53" s="37">
        <v>45</v>
      </c>
      <c r="Y53" s="37"/>
      <c r="Z53" s="37"/>
      <c r="AA53" s="37"/>
      <c r="AB53" s="37">
        <v>163</v>
      </c>
    </row>
    <row r="54" spans="2:28" x14ac:dyDescent="0.25">
      <c r="B54" s="19" t="s">
        <v>45</v>
      </c>
      <c r="C54" s="19">
        <v>16</v>
      </c>
      <c r="D54" s="19">
        <v>39</v>
      </c>
      <c r="E54" s="20">
        <f t="shared" si="0"/>
        <v>624</v>
      </c>
      <c r="F54" s="19" t="s">
        <v>61</v>
      </c>
      <c r="G54" s="21" t="s">
        <v>51</v>
      </c>
      <c r="J54" s="41" t="s">
        <v>45</v>
      </c>
      <c r="K54" s="37">
        <v>1884</v>
      </c>
      <c r="N54" t="s">
        <v>71</v>
      </c>
      <c r="P54" s="37">
        <v>74</v>
      </c>
      <c r="Q54" s="37">
        <v>71</v>
      </c>
      <c r="R54" s="37">
        <v>52</v>
      </c>
      <c r="S54" s="37">
        <v>63</v>
      </c>
      <c r="T54" s="37">
        <v>78</v>
      </c>
      <c r="U54" s="37">
        <v>47</v>
      </c>
      <c r="V54" s="37">
        <v>61</v>
      </c>
      <c r="W54" s="37">
        <v>42</v>
      </c>
      <c r="X54" s="37">
        <v>45</v>
      </c>
      <c r="Y54" s="37">
        <v>46</v>
      </c>
      <c r="Z54" s="37">
        <v>50</v>
      </c>
      <c r="AA54" s="37">
        <v>65</v>
      </c>
      <c r="AB54" s="37">
        <v>694</v>
      </c>
    </row>
    <row r="55" spans="2:28" x14ac:dyDescent="0.25">
      <c r="B55" s="19" t="s">
        <v>45</v>
      </c>
      <c r="C55" s="19">
        <v>18</v>
      </c>
      <c r="D55" s="19">
        <v>13</v>
      </c>
      <c r="E55" s="20">
        <f t="shared" si="0"/>
        <v>234</v>
      </c>
      <c r="F55" s="19" t="s">
        <v>62</v>
      </c>
      <c r="G55" s="21" t="s">
        <v>65</v>
      </c>
      <c r="J55" s="41" t="s">
        <v>54</v>
      </c>
      <c r="K55" s="37">
        <v>672</v>
      </c>
    </row>
    <row r="56" spans="2:28" x14ac:dyDescent="0.25">
      <c r="B56" s="19" t="s">
        <v>47</v>
      </c>
      <c r="C56" s="19">
        <v>17</v>
      </c>
      <c r="D56" s="19">
        <v>22</v>
      </c>
      <c r="E56" s="20">
        <f t="shared" si="0"/>
        <v>374</v>
      </c>
      <c r="F56" s="19" t="s">
        <v>46</v>
      </c>
      <c r="G56" s="21" t="s">
        <v>63</v>
      </c>
      <c r="J56" s="36" t="s">
        <v>88</v>
      </c>
      <c r="K56" s="37">
        <v>2556</v>
      </c>
    </row>
    <row r="57" spans="2:28" x14ac:dyDescent="0.25">
      <c r="B57" s="19" t="s">
        <v>47</v>
      </c>
      <c r="C57" s="19">
        <v>14</v>
      </c>
      <c r="D57" s="19">
        <v>32</v>
      </c>
      <c r="E57" s="20">
        <f t="shared" si="0"/>
        <v>448</v>
      </c>
      <c r="F57" s="19" t="s">
        <v>48</v>
      </c>
      <c r="G57" s="21" t="s">
        <v>64</v>
      </c>
      <c r="J57" s="36" t="s">
        <v>56</v>
      </c>
      <c r="K57" s="37"/>
    </row>
    <row r="58" spans="2:28" x14ac:dyDescent="0.25">
      <c r="B58" s="19" t="s">
        <v>45</v>
      </c>
      <c r="C58" s="19">
        <v>9</v>
      </c>
      <c r="D58" s="19">
        <v>10</v>
      </c>
      <c r="E58" s="20">
        <f t="shared" si="0"/>
        <v>90</v>
      </c>
      <c r="F58" s="19" t="s">
        <v>50</v>
      </c>
      <c r="G58" s="21" t="s">
        <v>51</v>
      </c>
      <c r="J58" s="41" t="s">
        <v>45</v>
      </c>
      <c r="K58" s="37">
        <v>60</v>
      </c>
      <c r="N58" s="40" t="s">
        <v>101</v>
      </c>
      <c r="O58" s="40"/>
      <c r="P58" s="43"/>
      <c r="Q58" s="43"/>
    </row>
    <row r="59" spans="2:28" x14ac:dyDescent="0.25">
      <c r="B59" s="19" t="s">
        <v>49</v>
      </c>
      <c r="C59" s="19">
        <v>20</v>
      </c>
      <c r="D59" s="19">
        <v>32</v>
      </c>
      <c r="E59" s="20">
        <f t="shared" si="0"/>
        <v>640</v>
      </c>
      <c r="F59" s="19" t="s">
        <v>53</v>
      </c>
      <c r="G59" s="21" t="s">
        <v>65</v>
      </c>
      <c r="J59" s="41" t="s">
        <v>47</v>
      </c>
      <c r="K59" s="37">
        <v>508</v>
      </c>
    </row>
    <row r="60" spans="2:28" x14ac:dyDescent="0.25">
      <c r="B60" s="19" t="s">
        <v>45</v>
      </c>
      <c r="C60" s="19">
        <v>12</v>
      </c>
      <c r="D60" s="19">
        <v>13</v>
      </c>
      <c r="E60" s="20">
        <f t="shared" si="0"/>
        <v>156</v>
      </c>
      <c r="F60" s="19" t="s">
        <v>55</v>
      </c>
      <c r="G60" s="21" t="s">
        <v>63</v>
      </c>
      <c r="J60" s="41" t="s">
        <v>54</v>
      </c>
      <c r="K60" s="37">
        <v>529</v>
      </c>
      <c r="N60" s="35" t="s">
        <v>70</v>
      </c>
      <c r="O60" t="s">
        <v>96</v>
      </c>
    </row>
    <row r="61" spans="2:28" x14ac:dyDescent="0.25">
      <c r="B61" s="19" t="s">
        <v>54</v>
      </c>
      <c r="C61" s="19">
        <v>16</v>
      </c>
      <c r="D61" s="19">
        <v>20</v>
      </c>
      <c r="E61" s="20">
        <f t="shared" si="0"/>
        <v>320</v>
      </c>
      <c r="F61" s="19" t="s">
        <v>56</v>
      </c>
      <c r="G61" s="21" t="s">
        <v>64</v>
      </c>
      <c r="J61" s="36" t="s">
        <v>89</v>
      </c>
      <c r="K61" s="37">
        <v>1097</v>
      </c>
      <c r="N61" s="36" t="s">
        <v>46</v>
      </c>
      <c r="O61" s="37"/>
    </row>
    <row r="62" spans="2:28" x14ac:dyDescent="0.25">
      <c r="B62" s="19" t="s">
        <v>52</v>
      </c>
      <c r="C62" s="19">
        <v>8</v>
      </c>
      <c r="D62" s="19">
        <v>41</v>
      </c>
      <c r="E62" s="20">
        <f t="shared" si="0"/>
        <v>328</v>
      </c>
      <c r="F62" s="19" t="s">
        <v>57</v>
      </c>
      <c r="G62" s="21" t="s">
        <v>51</v>
      </c>
      <c r="J62" s="36" t="s">
        <v>57</v>
      </c>
      <c r="K62" s="37"/>
      <c r="N62" s="41" t="s">
        <v>63</v>
      </c>
      <c r="O62" s="37">
        <v>74</v>
      </c>
    </row>
    <row r="63" spans="2:28" x14ac:dyDescent="0.25">
      <c r="B63" s="19" t="s">
        <v>54</v>
      </c>
      <c r="C63" s="19">
        <v>6</v>
      </c>
      <c r="D63" s="19">
        <v>32</v>
      </c>
      <c r="E63" s="20">
        <f t="shared" si="0"/>
        <v>192</v>
      </c>
      <c r="F63" s="19" t="s">
        <v>58</v>
      </c>
      <c r="G63" s="21" t="s">
        <v>65</v>
      </c>
      <c r="J63" s="41" t="s">
        <v>45</v>
      </c>
      <c r="K63" s="37">
        <v>931</v>
      </c>
      <c r="N63" s="36" t="s">
        <v>48</v>
      </c>
      <c r="O63" s="37"/>
    </row>
    <row r="64" spans="2:28" x14ac:dyDescent="0.25">
      <c r="B64" s="19" t="s">
        <v>45</v>
      </c>
      <c r="C64" s="19">
        <v>10</v>
      </c>
      <c r="D64" s="19">
        <v>29</v>
      </c>
      <c r="E64" s="20">
        <f t="shared" si="0"/>
        <v>290</v>
      </c>
      <c r="F64" s="19" t="s">
        <v>59</v>
      </c>
      <c r="G64" s="21" t="s">
        <v>63</v>
      </c>
      <c r="J64" s="41" t="s">
        <v>52</v>
      </c>
      <c r="K64" s="37">
        <v>328</v>
      </c>
      <c r="N64" s="41" t="s">
        <v>64</v>
      </c>
      <c r="O64" s="37">
        <v>71</v>
      </c>
    </row>
    <row r="65" spans="10:15" x14ac:dyDescent="0.25">
      <c r="J65" s="41" t="s">
        <v>49</v>
      </c>
      <c r="K65" s="37">
        <v>799</v>
      </c>
      <c r="N65" s="36" t="s">
        <v>50</v>
      </c>
      <c r="O65" s="37"/>
    </row>
    <row r="66" spans="10:15" x14ac:dyDescent="0.25">
      <c r="J66" s="36" t="s">
        <v>90</v>
      </c>
      <c r="K66" s="37">
        <v>2058</v>
      </c>
      <c r="N66" s="41" t="s">
        <v>51</v>
      </c>
      <c r="O66" s="37">
        <v>52</v>
      </c>
    </row>
    <row r="67" spans="10:15" x14ac:dyDescent="0.25">
      <c r="J67" s="36" t="s">
        <v>58</v>
      </c>
      <c r="K67" s="37"/>
      <c r="N67" s="36" t="s">
        <v>53</v>
      </c>
      <c r="O67" s="37"/>
    </row>
    <row r="68" spans="10:15" x14ac:dyDescent="0.25">
      <c r="J68" s="41" t="s">
        <v>45</v>
      </c>
      <c r="K68" s="37">
        <v>430</v>
      </c>
      <c r="N68" s="41" t="s">
        <v>65</v>
      </c>
      <c r="O68" s="37">
        <v>63</v>
      </c>
    </row>
    <row r="69" spans="10:15" x14ac:dyDescent="0.25">
      <c r="J69" s="41" t="s">
        <v>47</v>
      </c>
      <c r="K69" s="37">
        <v>335</v>
      </c>
      <c r="N69" s="36" t="s">
        <v>55</v>
      </c>
      <c r="O69" s="37"/>
    </row>
    <row r="70" spans="10:15" x14ac:dyDescent="0.25">
      <c r="J70" s="41" t="s">
        <v>54</v>
      </c>
      <c r="K70" s="37">
        <v>192</v>
      </c>
      <c r="N70" s="41" t="s">
        <v>63</v>
      </c>
      <c r="O70" s="37">
        <v>78</v>
      </c>
    </row>
    <row r="71" spans="10:15" x14ac:dyDescent="0.25">
      <c r="J71" s="41" t="s">
        <v>49</v>
      </c>
      <c r="K71" s="37">
        <v>384</v>
      </c>
      <c r="N71" s="36" t="s">
        <v>56</v>
      </c>
      <c r="O71" s="37"/>
    </row>
    <row r="72" spans="10:15" x14ac:dyDescent="0.25">
      <c r="J72" s="36" t="s">
        <v>91</v>
      </c>
      <c r="K72" s="37">
        <v>1341</v>
      </c>
      <c r="N72" s="41" t="s">
        <v>64</v>
      </c>
      <c r="O72" s="37">
        <v>47</v>
      </c>
    </row>
    <row r="73" spans="10:15" x14ac:dyDescent="0.25">
      <c r="J73" s="36" t="s">
        <v>60</v>
      </c>
      <c r="K73" s="37"/>
      <c r="N73" s="36" t="s">
        <v>57</v>
      </c>
      <c r="O73" s="37"/>
    </row>
    <row r="74" spans="10:15" x14ac:dyDescent="0.25">
      <c r="J74" s="41" t="s">
        <v>45</v>
      </c>
      <c r="K74" s="37">
        <v>200</v>
      </c>
      <c r="N74" s="41" t="s">
        <v>51</v>
      </c>
      <c r="O74" s="37">
        <v>61</v>
      </c>
    </row>
    <row r="75" spans="10:15" x14ac:dyDescent="0.25">
      <c r="J75" s="41" t="s">
        <v>49</v>
      </c>
      <c r="K75" s="37">
        <v>790</v>
      </c>
      <c r="N75" s="36" t="s">
        <v>58</v>
      </c>
      <c r="O75" s="37"/>
    </row>
    <row r="76" spans="10:15" x14ac:dyDescent="0.25">
      <c r="J76" s="36" t="s">
        <v>92</v>
      </c>
      <c r="K76" s="37">
        <v>990</v>
      </c>
      <c r="N76" s="41" t="s">
        <v>65</v>
      </c>
      <c r="O76" s="37">
        <v>42</v>
      </c>
    </row>
    <row r="77" spans="10:15" x14ac:dyDescent="0.25">
      <c r="J77" s="36" t="s">
        <v>61</v>
      </c>
      <c r="K77" s="37"/>
      <c r="N77" s="36" t="s">
        <v>60</v>
      </c>
      <c r="O77" s="37"/>
    </row>
    <row r="78" spans="10:15" x14ac:dyDescent="0.25">
      <c r="J78" s="41" t="s">
        <v>45</v>
      </c>
      <c r="K78" s="37">
        <v>874</v>
      </c>
      <c r="N78" s="41" t="s">
        <v>64</v>
      </c>
      <c r="O78" s="37">
        <v>45</v>
      </c>
    </row>
    <row r="79" spans="10:15" x14ac:dyDescent="0.25">
      <c r="J79" s="41" t="s">
        <v>52</v>
      </c>
      <c r="K79" s="37">
        <v>378</v>
      </c>
      <c r="N79" s="36" t="s">
        <v>61</v>
      </c>
      <c r="O79" s="37"/>
    </row>
    <row r="80" spans="10:15" x14ac:dyDescent="0.25">
      <c r="J80" s="41" t="s">
        <v>54</v>
      </c>
      <c r="K80" s="37">
        <v>220</v>
      </c>
      <c r="N80" s="41" t="s">
        <v>51</v>
      </c>
      <c r="O80" s="37">
        <v>46</v>
      </c>
    </row>
    <row r="81" spans="10:15" x14ac:dyDescent="0.25">
      <c r="J81" s="36" t="s">
        <v>93</v>
      </c>
      <c r="K81" s="37">
        <v>1472</v>
      </c>
      <c r="N81" s="36" t="s">
        <v>62</v>
      </c>
      <c r="O81" s="37"/>
    </row>
    <row r="82" spans="10:15" x14ac:dyDescent="0.25">
      <c r="J82" s="36" t="s">
        <v>62</v>
      </c>
      <c r="K82" s="37"/>
      <c r="N82" s="41" t="s">
        <v>65</v>
      </c>
      <c r="O82" s="37">
        <v>50</v>
      </c>
    </row>
    <row r="83" spans="10:15" x14ac:dyDescent="0.25">
      <c r="J83" s="41" t="s">
        <v>45</v>
      </c>
      <c r="K83" s="37">
        <v>864</v>
      </c>
      <c r="N83" s="36" t="s">
        <v>59</v>
      </c>
      <c r="O83" s="37"/>
    </row>
    <row r="84" spans="10:15" x14ac:dyDescent="0.25">
      <c r="J84" s="41" t="s">
        <v>49</v>
      </c>
      <c r="K84" s="37">
        <v>378</v>
      </c>
      <c r="N84" s="41" t="s">
        <v>63</v>
      </c>
      <c r="O84" s="37">
        <v>65</v>
      </c>
    </row>
    <row r="85" spans="10:15" x14ac:dyDescent="0.25">
      <c r="J85" s="36" t="s">
        <v>94</v>
      </c>
      <c r="K85" s="37">
        <v>1242</v>
      </c>
      <c r="N85" s="36" t="s">
        <v>71</v>
      </c>
      <c r="O85" s="37">
        <v>694</v>
      </c>
    </row>
    <row r="86" spans="10:15" x14ac:dyDescent="0.25">
      <c r="J86" s="36" t="s">
        <v>59</v>
      </c>
      <c r="K86" s="37"/>
    </row>
    <row r="87" spans="10:15" x14ac:dyDescent="0.25">
      <c r="J87" s="41" t="s">
        <v>45</v>
      </c>
      <c r="K87" s="37">
        <v>920</v>
      </c>
    </row>
    <row r="88" spans="10:15" x14ac:dyDescent="0.25">
      <c r="J88" s="41" t="s">
        <v>47</v>
      </c>
      <c r="K88" s="37">
        <v>570</v>
      </c>
    </row>
    <row r="89" spans="10:15" x14ac:dyDescent="0.25">
      <c r="J89" s="41" t="s">
        <v>54</v>
      </c>
      <c r="K89" s="37">
        <v>765</v>
      </c>
    </row>
    <row r="90" spans="10:15" x14ac:dyDescent="0.25">
      <c r="J90" s="36" t="s">
        <v>95</v>
      </c>
      <c r="K90" s="37">
        <v>2255</v>
      </c>
    </row>
    <row r="91" spans="10:15" x14ac:dyDescent="0.25">
      <c r="J91" s="36" t="s">
        <v>71</v>
      </c>
      <c r="K91" s="37">
        <v>19730</v>
      </c>
    </row>
  </sheetData>
  <mergeCells count="4">
    <mergeCell ref="J7:S27"/>
    <mergeCell ref="J28:K28"/>
    <mergeCell ref="T28:V28"/>
    <mergeCell ref="N58:O58"/>
  </mergeCells>
  <pageMargins left="0.7" right="0.7" top="0.75" bottom="0.75" header="0.3" footer="0.3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4FFF-E094-436C-9DF2-947ADB5AFA14}">
  <sheetPr codeName="Hoja9"/>
  <dimension ref="A1:T45"/>
  <sheetViews>
    <sheetView tabSelected="1" workbookViewId="0">
      <selection activeCell="S40" sqref="S40"/>
    </sheetView>
  </sheetViews>
  <sheetFormatPr baseColWidth="10" defaultRowHeight="15" x14ac:dyDescent="0.25"/>
  <cols>
    <col min="6" max="6" width="13.28515625" customWidth="1"/>
    <col min="10" max="10" width="17.5703125" bestFit="1" customWidth="1"/>
    <col min="11" max="11" width="17.85546875" bestFit="1" customWidth="1"/>
    <col min="13" max="13" width="17.5703125" bestFit="1" customWidth="1"/>
    <col min="14" max="14" width="16.28515625" bestFit="1" customWidth="1"/>
    <col min="19" max="19" width="17.5703125" bestFit="1" customWidth="1"/>
    <col min="20" max="20" width="17.85546875" bestFit="1" customWidth="1"/>
  </cols>
  <sheetData>
    <row r="1" spans="1:20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2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7" spans="1:20" ht="15" customHeight="1" x14ac:dyDescent="0.25">
      <c r="B7" s="45" t="s">
        <v>0</v>
      </c>
      <c r="C7" s="46" t="s">
        <v>1</v>
      </c>
      <c r="D7" s="46" t="s">
        <v>2</v>
      </c>
      <c r="E7" s="47" t="s">
        <v>38</v>
      </c>
      <c r="F7" s="46" t="s">
        <v>3</v>
      </c>
      <c r="G7" s="46" t="s">
        <v>4</v>
      </c>
      <c r="H7" s="46" t="s">
        <v>5</v>
      </c>
      <c r="K7" s="34" t="s">
        <v>69</v>
      </c>
      <c r="L7" s="34"/>
      <c r="M7" s="34"/>
      <c r="N7" s="34"/>
      <c r="O7" s="34"/>
      <c r="P7" s="34"/>
      <c r="Q7" s="34"/>
      <c r="R7" s="34"/>
      <c r="S7" s="34"/>
      <c r="T7" s="34"/>
    </row>
    <row r="8" spans="1:20" ht="15" customHeight="1" x14ac:dyDescent="0.25">
      <c r="B8" s="44">
        <v>1</v>
      </c>
      <c r="C8" s="13" t="s">
        <v>6</v>
      </c>
      <c r="D8" s="13" t="s">
        <v>7</v>
      </c>
      <c r="E8" s="14" t="s">
        <v>36</v>
      </c>
      <c r="F8" s="15" t="s">
        <v>8</v>
      </c>
      <c r="G8" s="16">
        <v>1000</v>
      </c>
      <c r="H8" s="13">
        <v>25</v>
      </c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ht="15" customHeight="1" x14ac:dyDescent="0.25">
      <c r="B9" s="44">
        <v>2</v>
      </c>
      <c r="C9" s="13" t="s">
        <v>9</v>
      </c>
      <c r="D9" s="13" t="s">
        <v>10</v>
      </c>
      <c r="E9" s="14" t="s">
        <v>36</v>
      </c>
      <c r="F9" s="15" t="s">
        <v>11</v>
      </c>
      <c r="G9" s="16">
        <v>1500</v>
      </c>
      <c r="H9" s="13">
        <v>40</v>
      </c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0" ht="15" customHeight="1" x14ac:dyDescent="0.25">
      <c r="B10" s="44">
        <v>3</v>
      </c>
      <c r="C10" s="13" t="s">
        <v>12</v>
      </c>
      <c r="D10" s="13" t="s">
        <v>13</v>
      </c>
      <c r="E10" s="14" t="s">
        <v>37</v>
      </c>
      <c r="F10" s="15" t="s">
        <v>14</v>
      </c>
      <c r="G10" s="16">
        <v>2000</v>
      </c>
      <c r="H10" s="13">
        <v>31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15" customHeight="1" x14ac:dyDescent="0.25">
      <c r="B11" s="44">
        <v>4</v>
      </c>
      <c r="C11" s="13" t="s">
        <v>15</v>
      </c>
      <c r="D11" s="13" t="s">
        <v>7</v>
      </c>
      <c r="E11" s="14" t="s">
        <v>37</v>
      </c>
      <c r="F11" s="15" t="s">
        <v>16</v>
      </c>
      <c r="G11" s="16">
        <v>800</v>
      </c>
      <c r="H11" s="13">
        <v>37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ht="15" customHeight="1" x14ac:dyDescent="0.25">
      <c r="B12" s="44">
        <v>5</v>
      </c>
      <c r="C12" s="13" t="s">
        <v>17</v>
      </c>
      <c r="D12" s="13" t="s">
        <v>18</v>
      </c>
      <c r="E12" s="14" t="s">
        <v>36</v>
      </c>
      <c r="F12" s="15" t="s">
        <v>8</v>
      </c>
      <c r="G12" s="16">
        <v>600</v>
      </c>
      <c r="H12" s="13">
        <v>21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0" ht="15" customHeight="1" x14ac:dyDescent="0.25">
      <c r="B13" s="44">
        <v>6</v>
      </c>
      <c r="C13" s="13" t="s">
        <v>19</v>
      </c>
      <c r="D13" s="13" t="s">
        <v>10</v>
      </c>
      <c r="E13" s="14" t="s">
        <v>37</v>
      </c>
      <c r="F13" s="15" t="s">
        <v>14</v>
      </c>
      <c r="G13" s="16">
        <v>700</v>
      </c>
      <c r="H13" s="13">
        <v>47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ht="15" customHeight="1" x14ac:dyDescent="0.25">
      <c r="B14" s="44">
        <v>7</v>
      </c>
      <c r="C14" s="13" t="s">
        <v>20</v>
      </c>
      <c r="D14" s="13" t="s">
        <v>13</v>
      </c>
      <c r="E14" s="14" t="s">
        <v>37</v>
      </c>
      <c r="F14" s="15" t="s">
        <v>14</v>
      </c>
      <c r="G14" s="16">
        <v>2000</v>
      </c>
      <c r="H14" s="13">
        <v>23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ht="15" customHeight="1" x14ac:dyDescent="0.25">
      <c r="B15" s="44">
        <v>8</v>
      </c>
      <c r="C15" s="13" t="s">
        <v>21</v>
      </c>
      <c r="D15" s="13" t="s">
        <v>7</v>
      </c>
      <c r="E15" s="14" t="s">
        <v>37</v>
      </c>
      <c r="F15" s="15" t="s">
        <v>11</v>
      </c>
      <c r="G15" s="16">
        <v>2500</v>
      </c>
      <c r="H15" s="13">
        <v>45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ht="15" customHeight="1" x14ac:dyDescent="0.25">
      <c r="B16" s="44">
        <v>9</v>
      </c>
      <c r="C16" s="13" t="s">
        <v>22</v>
      </c>
      <c r="D16" s="13" t="s">
        <v>10</v>
      </c>
      <c r="E16" s="14" t="s">
        <v>36</v>
      </c>
      <c r="F16" s="15" t="s">
        <v>23</v>
      </c>
      <c r="G16" s="16">
        <v>400</v>
      </c>
      <c r="H16" s="13">
        <v>12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2:20" ht="15" customHeight="1" x14ac:dyDescent="0.25">
      <c r="B17" s="44">
        <v>10</v>
      </c>
      <c r="C17" s="13" t="s">
        <v>24</v>
      </c>
      <c r="D17" s="13" t="s">
        <v>18</v>
      </c>
      <c r="E17" s="14" t="s">
        <v>36</v>
      </c>
      <c r="F17" s="15" t="s">
        <v>23</v>
      </c>
      <c r="G17" s="16">
        <v>1800</v>
      </c>
      <c r="H17" s="13">
        <v>23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2:20" ht="15" customHeight="1" x14ac:dyDescent="0.25">
      <c r="B18" s="44">
        <v>11</v>
      </c>
      <c r="C18" s="13" t="s">
        <v>25</v>
      </c>
      <c r="D18" s="13" t="s">
        <v>10</v>
      </c>
      <c r="E18" s="14" t="s">
        <v>37</v>
      </c>
      <c r="F18" s="15" t="s">
        <v>8</v>
      </c>
      <c r="G18" s="16">
        <v>3000</v>
      </c>
      <c r="H18" s="13">
        <v>37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2:20" ht="15" customHeight="1" x14ac:dyDescent="0.25">
      <c r="B19" s="44">
        <v>12</v>
      </c>
      <c r="C19" s="13" t="s">
        <v>26</v>
      </c>
      <c r="D19" s="13" t="s">
        <v>27</v>
      </c>
      <c r="E19" s="14" t="s">
        <v>36</v>
      </c>
      <c r="F19" s="15" t="s">
        <v>11</v>
      </c>
      <c r="G19" s="16">
        <v>1500</v>
      </c>
      <c r="H19" s="13">
        <v>30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2:20" ht="15" customHeight="1" x14ac:dyDescent="0.25">
      <c r="B20" s="44">
        <v>13</v>
      </c>
      <c r="C20" s="13" t="s">
        <v>28</v>
      </c>
      <c r="D20" s="13" t="s">
        <v>29</v>
      </c>
      <c r="E20" s="14" t="s">
        <v>37</v>
      </c>
      <c r="F20" s="15" t="s">
        <v>14</v>
      </c>
      <c r="G20" s="16">
        <v>1900</v>
      </c>
      <c r="H20" s="13">
        <v>32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2:20" ht="15" customHeight="1" x14ac:dyDescent="0.25">
      <c r="B21" s="44">
        <v>14</v>
      </c>
      <c r="C21" s="13" t="s">
        <v>19</v>
      </c>
      <c r="D21" s="13" t="s">
        <v>13</v>
      </c>
      <c r="E21" s="14" t="s">
        <v>37</v>
      </c>
      <c r="F21" s="15" t="s">
        <v>23</v>
      </c>
      <c r="G21" s="16">
        <v>800</v>
      </c>
      <c r="H21" s="13">
        <v>23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2:20" ht="15" customHeight="1" x14ac:dyDescent="0.25">
      <c r="B22" s="44">
        <v>15</v>
      </c>
      <c r="C22" s="13" t="s">
        <v>30</v>
      </c>
      <c r="D22" s="13" t="s">
        <v>18</v>
      </c>
      <c r="E22" s="14" t="s">
        <v>37</v>
      </c>
      <c r="F22" s="15" t="s">
        <v>8</v>
      </c>
      <c r="G22" s="16">
        <v>600</v>
      </c>
      <c r="H22" s="13">
        <v>29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spans="2:20" ht="15" customHeight="1" x14ac:dyDescent="0.25">
      <c r="B23" s="44">
        <v>16</v>
      </c>
      <c r="C23" s="13" t="s">
        <v>31</v>
      </c>
      <c r="D23" s="13" t="s">
        <v>7</v>
      </c>
      <c r="E23" s="14" t="s">
        <v>36</v>
      </c>
      <c r="F23" s="15" t="s">
        <v>11</v>
      </c>
      <c r="G23" s="16">
        <v>700</v>
      </c>
      <c r="H23" s="13">
        <v>46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2:20" ht="15" customHeight="1" x14ac:dyDescent="0.25">
      <c r="B24" s="44">
        <v>17</v>
      </c>
      <c r="C24" s="13" t="s">
        <v>32</v>
      </c>
      <c r="D24" s="13" t="s">
        <v>10</v>
      </c>
      <c r="E24" s="14" t="s">
        <v>36</v>
      </c>
      <c r="F24" s="15" t="s">
        <v>23</v>
      </c>
      <c r="G24" s="16">
        <v>5000</v>
      </c>
      <c r="H24" s="13">
        <v>35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spans="2:20" ht="15" customHeight="1" x14ac:dyDescent="0.25">
      <c r="B25" s="44">
        <v>18</v>
      </c>
      <c r="C25" s="13" t="s">
        <v>33</v>
      </c>
      <c r="D25" s="13" t="s">
        <v>29</v>
      </c>
      <c r="E25" s="14" t="s">
        <v>36</v>
      </c>
      <c r="F25" s="15" t="s">
        <v>11</v>
      </c>
      <c r="G25" s="16">
        <v>2500</v>
      </c>
      <c r="H25" s="13">
        <v>21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</row>
    <row r="26" spans="2:20" ht="15" customHeight="1" x14ac:dyDescent="0.25">
      <c r="B26" s="44">
        <v>19</v>
      </c>
      <c r="C26" s="13" t="s">
        <v>34</v>
      </c>
      <c r="D26" s="13" t="s">
        <v>27</v>
      </c>
      <c r="E26" s="14" t="s">
        <v>37</v>
      </c>
      <c r="F26" s="15" t="s">
        <v>8</v>
      </c>
      <c r="G26" s="16">
        <v>400</v>
      </c>
      <c r="H26" s="13">
        <v>22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</row>
    <row r="27" spans="2:20" ht="15" customHeight="1" x14ac:dyDescent="0.25">
      <c r="B27" s="44">
        <v>20</v>
      </c>
      <c r="C27" s="13" t="s">
        <v>35</v>
      </c>
      <c r="D27" s="13" t="s">
        <v>7</v>
      </c>
      <c r="E27" s="14" t="s">
        <v>36</v>
      </c>
      <c r="F27" s="15" t="s">
        <v>23</v>
      </c>
      <c r="G27" s="16">
        <v>1800</v>
      </c>
      <c r="H27" s="13">
        <v>35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9" spans="2:20" x14ac:dyDescent="0.25">
      <c r="J29" s="40" t="s">
        <v>75</v>
      </c>
      <c r="K29" s="40"/>
      <c r="M29" s="40" t="s">
        <v>77</v>
      </c>
      <c r="N29" s="40"/>
    </row>
    <row r="31" spans="2:20" x14ac:dyDescent="0.25">
      <c r="J31" s="35" t="s">
        <v>70</v>
      </c>
      <c r="K31" t="s">
        <v>76</v>
      </c>
      <c r="M31" s="35" t="s">
        <v>70</v>
      </c>
      <c r="N31" t="s">
        <v>72</v>
      </c>
      <c r="S31" s="35" t="s">
        <v>70</v>
      </c>
      <c r="T31" t="s">
        <v>76</v>
      </c>
    </row>
    <row r="32" spans="2:20" x14ac:dyDescent="0.25">
      <c r="J32" s="36" t="s">
        <v>8</v>
      </c>
      <c r="K32" s="37"/>
      <c r="M32" s="36" t="s">
        <v>7</v>
      </c>
      <c r="N32" s="37">
        <v>6800</v>
      </c>
      <c r="S32" s="36" t="s">
        <v>8</v>
      </c>
      <c r="T32" s="37">
        <v>26.8</v>
      </c>
    </row>
    <row r="33" spans="10:20" x14ac:dyDescent="0.25">
      <c r="J33" s="41" t="s">
        <v>36</v>
      </c>
      <c r="K33" s="37">
        <v>23</v>
      </c>
      <c r="M33" s="36" t="s">
        <v>18</v>
      </c>
      <c r="N33" s="37">
        <v>3000</v>
      </c>
      <c r="S33" s="36" t="s">
        <v>11</v>
      </c>
      <c r="T33" s="37">
        <v>36.4</v>
      </c>
    </row>
    <row r="34" spans="10:20" x14ac:dyDescent="0.25">
      <c r="J34" s="41" t="s">
        <v>37</v>
      </c>
      <c r="K34" s="37">
        <v>29.333333333333332</v>
      </c>
      <c r="M34" s="36" t="s">
        <v>13</v>
      </c>
      <c r="N34" s="37">
        <v>4800</v>
      </c>
      <c r="S34" s="36" t="s">
        <v>16</v>
      </c>
      <c r="T34" s="37">
        <v>37</v>
      </c>
    </row>
    <row r="35" spans="10:20" x14ac:dyDescent="0.25">
      <c r="J35" s="36" t="s">
        <v>11</v>
      </c>
      <c r="K35" s="37"/>
      <c r="M35" s="36" t="s">
        <v>10</v>
      </c>
      <c r="N35" s="37">
        <v>10600</v>
      </c>
      <c r="S35" s="36" t="s">
        <v>23</v>
      </c>
      <c r="T35" s="37">
        <v>25.6</v>
      </c>
    </row>
    <row r="36" spans="10:20" x14ac:dyDescent="0.25">
      <c r="J36" s="41" t="s">
        <v>36</v>
      </c>
      <c r="K36" s="37">
        <v>34.25</v>
      </c>
      <c r="M36" s="36" t="s">
        <v>27</v>
      </c>
      <c r="N36" s="37">
        <v>1900</v>
      </c>
      <c r="S36" s="36" t="s">
        <v>14</v>
      </c>
      <c r="T36" s="37">
        <v>33.25</v>
      </c>
    </row>
    <row r="37" spans="10:20" x14ac:dyDescent="0.25">
      <c r="J37" s="41" t="s">
        <v>37</v>
      </c>
      <c r="K37" s="37">
        <v>45</v>
      </c>
      <c r="M37" s="36" t="s">
        <v>29</v>
      </c>
      <c r="N37" s="37">
        <v>4400</v>
      </c>
      <c r="S37" s="36" t="s">
        <v>71</v>
      </c>
      <c r="T37" s="37">
        <v>30.7</v>
      </c>
    </row>
    <row r="38" spans="10:20" x14ac:dyDescent="0.25">
      <c r="J38" s="36" t="s">
        <v>16</v>
      </c>
      <c r="K38" s="37"/>
      <c r="M38" s="36" t="s">
        <v>71</v>
      </c>
      <c r="N38" s="37">
        <v>31500</v>
      </c>
    </row>
    <row r="39" spans="10:20" x14ac:dyDescent="0.25">
      <c r="J39" s="41" t="s">
        <v>37</v>
      </c>
      <c r="K39" s="37">
        <v>37</v>
      </c>
    </row>
    <row r="40" spans="10:20" x14ac:dyDescent="0.25">
      <c r="J40" s="36" t="s">
        <v>23</v>
      </c>
      <c r="K40" s="37"/>
    </row>
    <row r="41" spans="10:20" x14ac:dyDescent="0.25">
      <c r="J41" s="41" t="s">
        <v>36</v>
      </c>
      <c r="K41" s="37">
        <v>26.25</v>
      </c>
    </row>
    <row r="42" spans="10:20" x14ac:dyDescent="0.25">
      <c r="J42" s="41" t="s">
        <v>37</v>
      </c>
      <c r="K42" s="37">
        <v>23</v>
      </c>
    </row>
    <row r="43" spans="10:20" x14ac:dyDescent="0.25">
      <c r="J43" s="36" t="s">
        <v>14</v>
      </c>
      <c r="K43" s="37"/>
    </row>
    <row r="44" spans="10:20" x14ac:dyDescent="0.25">
      <c r="J44" s="41" t="s">
        <v>37</v>
      </c>
      <c r="K44" s="37">
        <v>33.25</v>
      </c>
    </row>
    <row r="45" spans="10:20" x14ac:dyDescent="0.25">
      <c r="J45" s="36" t="s">
        <v>71</v>
      </c>
      <c r="K45" s="37">
        <v>30.7</v>
      </c>
    </row>
  </sheetData>
  <mergeCells count="3">
    <mergeCell ref="K7:T27"/>
    <mergeCell ref="J29:K29"/>
    <mergeCell ref="M29:N29"/>
  </mergeCells>
  <pageMargins left="0.7" right="0.7" top="0.75" bottom="0.75" header="0.3" footer="0.3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97E2-493D-44D1-A1D3-3BC4468BF3AA}">
  <sheetPr codeName="Hoja10"/>
  <dimension ref="A1:Q30"/>
  <sheetViews>
    <sheetView zoomScale="160" zoomScaleNormal="160" workbookViewId="0">
      <selection activeCell="D36" sqref="D36"/>
    </sheetView>
  </sheetViews>
  <sheetFormatPr baseColWidth="10" defaultRowHeight="15" x14ac:dyDescent="0.25"/>
  <cols>
    <col min="6" max="6" width="11.85546875" customWidth="1"/>
  </cols>
  <sheetData>
    <row r="1" spans="1:17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6" spans="1:17" x14ac:dyDescent="0.25">
      <c r="D6" s="10" t="s">
        <v>2</v>
      </c>
      <c r="E6" s="11" t="s">
        <v>38</v>
      </c>
      <c r="F6" s="11" t="s">
        <v>3</v>
      </c>
      <c r="G6" s="11" t="s">
        <v>4</v>
      </c>
      <c r="H6" s="11" t="s">
        <v>5</v>
      </c>
    </row>
    <row r="7" spans="1:17" x14ac:dyDescent="0.25">
      <c r="D7" s="2"/>
      <c r="E7" s="5" t="s">
        <v>36</v>
      </c>
      <c r="F7" s="5" t="s">
        <v>8</v>
      </c>
      <c r="G7" s="5"/>
      <c r="H7" s="5"/>
    </row>
    <row r="8" spans="1:17" x14ac:dyDescent="0.25">
      <c r="D8" s="6"/>
      <c r="E8" s="7"/>
      <c r="F8" s="7"/>
      <c r="G8" s="7"/>
      <c r="H8" s="7"/>
    </row>
    <row r="10" spans="1:17" x14ac:dyDescent="0.25">
      <c r="B10" s="26" t="s">
        <v>0</v>
      </c>
      <c r="C10" s="27" t="s">
        <v>1</v>
      </c>
      <c r="D10" s="27" t="s">
        <v>2</v>
      </c>
      <c r="E10" s="48" t="s">
        <v>38</v>
      </c>
      <c r="F10" s="27" t="s">
        <v>3</v>
      </c>
      <c r="G10" s="27" t="s">
        <v>4</v>
      </c>
      <c r="H10" s="28" t="s">
        <v>5</v>
      </c>
    </row>
    <row r="11" spans="1:17" x14ac:dyDescent="0.25">
      <c r="B11" s="25">
        <v>4</v>
      </c>
      <c r="C11" s="2" t="s">
        <v>15</v>
      </c>
      <c r="D11" s="2" t="s">
        <v>7</v>
      </c>
      <c r="E11" s="5" t="s">
        <v>37</v>
      </c>
      <c r="F11" s="3" t="s">
        <v>16</v>
      </c>
      <c r="G11" s="4">
        <v>800</v>
      </c>
      <c r="H11" s="18">
        <v>37</v>
      </c>
    </row>
    <row r="12" spans="1:17" x14ac:dyDescent="0.25">
      <c r="B12" s="25">
        <v>2</v>
      </c>
      <c r="C12" s="2" t="s">
        <v>9</v>
      </c>
      <c r="D12" s="2" t="s">
        <v>10</v>
      </c>
      <c r="E12" s="5" t="s">
        <v>36</v>
      </c>
      <c r="F12" s="3" t="s">
        <v>11</v>
      </c>
      <c r="G12" s="4">
        <v>1500</v>
      </c>
      <c r="H12" s="18">
        <v>40</v>
      </c>
    </row>
    <row r="13" spans="1:17" x14ac:dyDescent="0.25">
      <c r="B13" s="25">
        <v>17</v>
      </c>
      <c r="C13" s="2" t="s">
        <v>32</v>
      </c>
      <c r="D13" s="2" t="s">
        <v>10</v>
      </c>
      <c r="E13" s="5" t="s">
        <v>36</v>
      </c>
      <c r="F13" s="3" t="s">
        <v>23</v>
      </c>
      <c r="G13" s="4">
        <v>5000</v>
      </c>
      <c r="H13" s="18">
        <v>35</v>
      </c>
    </row>
    <row r="14" spans="1:17" x14ac:dyDescent="0.25">
      <c r="B14" s="25">
        <v>18</v>
      </c>
      <c r="C14" s="2" t="s">
        <v>33</v>
      </c>
      <c r="D14" s="2" t="s">
        <v>29</v>
      </c>
      <c r="E14" s="5" t="s">
        <v>36</v>
      </c>
      <c r="F14" s="3" t="s">
        <v>11</v>
      </c>
      <c r="G14" s="4">
        <v>2500</v>
      </c>
      <c r="H14" s="18">
        <v>21</v>
      </c>
    </row>
    <row r="15" spans="1:17" x14ac:dyDescent="0.25">
      <c r="B15" s="25">
        <v>7</v>
      </c>
      <c r="C15" s="2" t="s">
        <v>20</v>
      </c>
      <c r="D15" s="2" t="s">
        <v>13</v>
      </c>
      <c r="E15" s="5" t="s">
        <v>37</v>
      </c>
      <c r="F15" s="3" t="s">
        <v>14</v>
      </c>
      <c r="G15" s="4">
        <v>2000</v>
      </c>
      <c r="H15" s="18">
        <v>23</v>
      </c>
    </row>
    <row r="16" spans="1:17" x14ac:dyDescent="0.25">
      <c r="B16" s="25">
        <v>20</v>
      </c>
      <c r="C16" s="2" t="s">
        <v>35</v>
      </c>
      <c r="D16" s="2" t="s">
        <v>7</v>
      </c>
      <c r="E16" s="5" t="s">
        <v>36</v>
      </c>
      <c r="F16" s="3" t="s">
        <v>23</v>
      </c>
      <c r="G16" s="4">
        <v>1800</v>
      </c>
      <c r="H16" s="18">
        <v>35</v>
      </c>
    </row>
    <row r="17" spans="2:8" x14ac:dyDescent="0.25">
      <c r="B17" s="25">
        <v>15</v>
      </c>
      <c r="C17" s="2" t="s">
        <v>30</v>
      </c>
      <c r="D17" s="2" t="s">
        <v>18</v>
      </c>
      <c r="E17" s="5" t="s">
        <v>37</v>
      </c>
      <c r="F17" s="3" t="s">
        <v>8</v>
      </c>
      <c r="G17" s="4">
        <v>600</v>
      </c>
      <c r="H17" s="18">
        <v>29</v>
      </c>
    </row>
    <row r="18" spans="2:8" x14ac:dyDescent="0.25">
      <c r="B18" s="25">
        <v>13</v>
      </c>
      <c r="C18" s="2" t="s">
        <v>28</v>
      </c>
      <c r="D18" s="2" t="s">
        <v>29</v>
      </c>
      <c r="E18" s="5" t="s">
        <v>37</v>
      </c>
      <c r="F18" s="3" t="s">
        <v>14</v>
      </c>
      <c r="G18" s="4">
        <v>1900</v>
      </c>
      <c r="H18" s="18">
        <v>32</v>
      </c>
    </row>
    <row r="19" spans="2:8" x14ac:dyDescent="0.25">
      <c r="B19" s="25">
        <v>8</v>
      </c>
      <c r="C19" s="2" t="s">
        <v>21</v>
      </c>
      <c r="D19" s="2" t="s">
        <v>7</v>
      </c>
      <c r="E19" s="5" t="s">
        <v>37</v>
      </c>
      <c r="F19" s="3" t="s">
        <v>11</v>
      </c>
      <c r="G19" s="4">
        <v>2500</v>
      </c>
      <c r="H19" s="18">
        <v>45</v>
      </c>
    </row>
    <row r="20" spans="2:8" x14ac:dyDescent="0.25">
      <c r="B20" s="25">
        <v>12</v>
      </c>
      <c r="C20" s="2" t="s">
        <v>26</v>
      </c>
      <c r="D20" s="2" t="s">
        <v>27</v>
      </c>
      <c r="E20" s="5" t="s">
        <v>36</v>
      </c>
      <c r="F20" s="3" t="s">
        <v>11</v>
      </c>
      <c r="G20" s="4">
        <v>1500</v>
      </c>
      <c r="H20" s="18">
        <v>30</v>
      </c>
    </row>
    <row r="21" spans="2:8" x14ac:dyDescent="0.25">
      <c r="B21" s="25">
        <v>5</v>
      </c>
      <c r="C21" s="2" t="s">
        <v>17</v>
      </c>
      <c r="D21" s="2" t="s">
        <v>18</v>
      </c>
      <c r="E21" s="5" t="s">
        <v>36</v>
      </c>
      <c r="F21" s="3" t="s">
        <v>8</v>
      </c>
      <c r="G21" s="4">
        <v>600</v>
      </c>
      <c r="H21" s="18">
        <v>21</v>
      </c>
    </row>
    <row r="22" spans="2:8" x14ac:dyDescent="0.25">
      <c r="B22" s="25">
        <v>3</v>
      </c>
      <c r="C22" s="2" t="s">
        <v>12</v>
      </c>
      <c r="D22" s="2" t="s">
        <v>13</v>
      </c>
      <c r="E22" s="5" t="s">
        <v>37</v>
      </c>
      <c r="F22" s="3" t="s">
        <v>14</v>
      </c>
      <c r="G22" s="4">
        <v>2000</v>
      </c>
      <c r="H22" s="18">
        <v>31</v>
      </c>
    </row>
    <row r="23" spans="2:8" x14ac:dyDescent="0.25">
      <c r="B23" s="25">
        <v>6</v>
      </c>
      <c r="C23" s="2" t="s">
        <v>19</v>
      </c>
      <c r="D23" s="2" t="s">
        <v>10</v>
      </c>
      <c r="E23" s="5" t="s">
        <v>37</v>
      </c>
      <c r="F23" s="3" t="s">
        <v>14</v>
      </c>
      <c r="G23" s="4">
        <v>700</v>
      </c>
      <c r="H23" s="18">
        <v>47</v>
      </c>
    </row>
    <row r="24" spans="2:8" x14ac:dyDescent="0.25">
      <c r="B24" s="25">
        <v>14</v>
      </c>
      <c r="C24" s="2" t="s">
        <v>19</v>
      </c>
      <c r="D24" s="2" t="s">
        <v>13</v>
      </c>
      <c r="E24" s="5" t="s">
        <v>37</v>
      </c>
      <c r="F24" s="3" t="s">
        <v>23</v>
      </c>
      <c r="G24" s="4">
        <v>800</v>
      </c>
      <c r="H24" s="18">
        <v>23</v>
      </c>
    </row>
    <row r="25" spans="2:8" x14ac:dyDescent="0.25">
      <c r="B25" s="25">
        <v>11</v>
      </c>
      <c r="C25" s="2" t="s">
        <v>25</v>
      </c>
      <c r="D25" s="2" t="s">
        <v>10</v>
      </c>
      <c r="E25" s="5" t="s">
        <v>37</v>
      </c>
      <c r="F25" s="3" t="s">
        <v>8</v>
      </c>
      <c r="G25" s="4">
        <v>3000</v>
      </c>
      <c r="H25" s="18">
        <v>37</v>
      </c>
    </row>
    <row r="26" spans="2:8" x14ac:dyDescent="0.25">
      <c r="B26" s="25">
        <v>9</v>
      </c>
      <c r="C26" s="2" t="s">
        <v>22</v>
      </c>
      <c r="D26" s="2" t="s">
        <v>10</v>
      </c>
      <c r="E26" s="5" t="s">
        <v>36</v>
      </c>
      <c r="F26" s="3" t="s">
        <v>23</v>
      </c>
      <c r="G26" s="4">
        <v>400</v>
      </c>
      <c r="H26" s="18">
        <v>12</v>
      </c>
    </row>
    <row r="27" spans="2:8" x14ac:dyDescent="0.25">
      <c r="B27" s="25">
        <v>10</v>
      </c>
      <c r="C27" s="2" t="s">
        <v>24</v>
      </c>
      <c r="D27" s="2" t="s">
        <v>18</v>
      </c>
      <c r="E27" s="5" t="s">
        <v>36</v>
      </c>
      <c r="F27" s="3" t="s">
        <v>23</v>
      </c>
      <c r="G27" s="4">
        <v>1800</v>
      </c>
      <c r="H27" s="18">
        <v>23</v>
      </c>
    </row>
    <row r="28" spans="2:8" x14ac:dyDescent="0.25">
      <c r="B28" s="25">
        <v>19</v>
      </c>
      <c r="C28" s="2" t="s">
        <v>34</v>
      </c>
      <c r="D28" s="2" t="s">
        <v>27</v>
      </c>
      <c r="E28" s="5" t="s">
        <v>37</v>
      </c>
      <c r="F28" s="3" t="s">
        <v>8</v>
      </c>
      <c r="G28" s="4">
        <v>400</v>
      </c>
      <c r="H28" s="18">
        <v>22</v>
      </c>
    </row>
    <row r="29" spans="2:8" x14ac:dyDescent="0.25">
      <c r="B29" s="25">
        <v>1</v>
      </c>
      <c r="C29" s="2" t="s">
        <v>6</v>
      </c>
      <c r="D29" s="2" t="s">
        <v>7</v>
      </c>
      <c r="E29" s="5" t="s">
        <v>36</v>
      </c>
      <c r="F29" s="3" t="s">
        <v>8</v>
      </c>
      <c r="G29" s="4">
        <v>1000</v>
      </c>
      <c r="H29" s="18">
        <v>25</v>
      </c>
    </row>
    <row r="30" spans="2:8" x14ac:dyDescent="0.25">
      <c r="B30" s="29">
        <v>16</v>
      </c>
      <c r="C30" s="17" t="s">
        <v>31</v>
      </c>
      <c r="D30" s="17" t="s">
        <v>7</v>
      </c>
      <c r="E30" s="49" t="s">
        <v>36</v>
      </c>
      <c r="F30" s="30" t="s">
        <v>11</v>
      </c>
      <c r="G30" s="31">
        <v>700</v>
      </c>
      <c r="H30" s="13">
        <v>46</v>
      </c>
    </row>
  </sheetData>
  <sortState xmlns:xlrd2="http://schemas.microsoft.com/office/spreadsheetml/2017/richdata2" ref="B11:H30">
    <sortCondition ref="C11:C30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PRESENTACION</vt:lpstr>
      <vt:lpstr>TEORIA</vt:lpstr>
      <vt:lpstr>TABLAS DINAMICAS</vt:lpstr>
      <vt:lpstr>GRAFICOS</vt:lpstr>
      <vt:lpstr>TABLAS DINAMICAS 2</vt:lpstr>
      <vt:lpstr>SEGMENTACION</vt:lpstr>
      <vt:lpstr>AVANZADOS</vt:lpstr>
      <vt:lpstr>AVANZADOS!Criterios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ARES</dc:creator>
  <cp:lastModifiedBy>Jersson Jorge Corilla Miranda</cp:lastModifiedBy>
  <dcterms:created xsi:type="dcterms:W3CDTF">2021-01-13T00:28:26Z</dcterms:created>
  <dcterms:modified xsi:type="dcterms:W3CDTF">2024-09-18T23:56:58Z</dcterms:modified>
</cp:coreProperties>
</file>